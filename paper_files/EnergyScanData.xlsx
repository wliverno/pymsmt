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1ParamCompare" sheetId="1" r:id="rId4"/>
    <sheet state="visible" name="AG2ParamCompare" sheetId="2" r:id="rId5"/>
    <sheet state="visible" name="AG1AngRestCompare" sheetId="3" r:id="rId6"/>
    <sheet state="visible" name="AG2AngRestCompare" sheetId="4" r:id="rId7"/>
    <sheet state="visible" name="DTM Comparison" sheetId="5" r:id="rId8"/>
    <sheet state="visible" name="DFT Energies" sheetId="6" r:id="rId9"/>
    <sheet state="visible" name="LJ vs Coulomb (7BP)" sheetId="7" r:id="rId10"/>
  </sheets>
  <definedNames/>
  <calcPr/>
</workbook>
</file>

<file path=xl/sharedStrings.xml><?xml version="1.0" encoding="utf-8"?>
<sst xmlns="http://schemas.openxmlformats.org/spreadsheetml/2006/main" count="239" uniqueCount="75">
  <si>
    <t>Parameterization A</t>
  </si>
  <si>
    <t>Parameterization B</t>
  </si>
  <si>
    <t>DFT (PCM Model)</t>
  </si>
  <si>
    <t>Distance</t>
  </si>
  <si>
    <t>MD Energy (eV)</t>
  </si>
  <si>
    <t>Rel Energy (eV)</t>
  </si>
  <si>
    <t>Energy (hartree)</t>
  </si>
  <si>
    <t>DFT (PCM Water Model)</t>
  </si>
  <si>
    <t>Distance (x)</t>
  </si>
  <si>
    <t>MD energy (eV)</t>
  </si>
  <si>
    <t>Relative Energy (eV)</t>
  </si>
  <si>
    <t>Energy (Hartree)</t>
  </si>
  <si>
    <t>Distance (y)</t>
  </si>
  <si>
    <t>Distance (z)</t>
  </si>
  <si>
    <t>-0.5 -3116.861476611909</t>
  </si>
  <si>
    <t>-0.4375 -3116.862390562287</t>
  </si>
  <si>
    <t>-0.375 -3116.863331159082</t>
  </si>
  <si>
    <t>-0.3125 -3116.864258029499</t>
  </si>
  <si>
    <t>-0.25 -3116.865093418526</t>
  </si>
  <si>
    <t>-0.1875 -3116.8658103197813</t>
  </si>
  <si>
    <t>-0.125 -3116.8663775493296</t>
  </si>
  <si>
    <t>-0.0625 -3116.8667576670896</t>
  </si>
  <si>
    <t>0.0 -3116.866940376245</t>
  </si>
  <si>
    <t>0.0625 -3116.866969681467</t>
  </si>
  <si>
    <t>0.125 -3116.8669130759927</t>
  </si>
  <si>
    <t>0.1875 -3116.8667579164257</t>
  </si>
  <si>
    <t>0.25 -3116.8664964398176</t>
  </si>
  <si>
    <t>0.3125 -3116.8661675722688</t>
  </si>
  <si>
    <t>Generated Force Field</t>
  </si>
  <si>
    <t>Angle Restrained Method</t>
  </si>
  <si>
    <t>Angle Restrained</t>
  </si>
  <si>
    <t>MD (no carbon bonds)</t>
  </si>
  <si>
    <t>MD (with Carbon Bonds)</t>
  </si>
  <si>
    <t>O4-AG1 BOND STRETCHING (difference from equilibrium)</t>
  </si>
  <si>
    <t>N3-H3 BOND STRETCHING (difference from equilibrium)</t>
  </si>
  <si>
    <t>DFT (vacuum)</t>
  </si>
  <si>
    <t>Ag Mulliken Charge</t>
  </si>
  <si>
    <t>MD (no water)</t>
  </si>
  <si>
    <t>Hydrogen Mulliken Charge</t>
  </si>
  <si>
    <t>vacuum</t>
  </si>
  <si>
    <t>water</t>
  </si>
  <si>
    <t>Dist (Angstroms)</t>
  </si>
  <si>
    <t>Energy (eV)</t>
  </si>
  <si>
    <t>Hartree/Bohr</t>
  </si>
  <si>
    <t>eV/Angstrom</t>
  </si>
  <si>
    <t>CAg2T</t>
  </si>
  <si>
    <t>Energy (hartrees)</t>
  </si>
  <si>
    <t>Diff (eV)</t>
  </si>
  <si>
    <t>Max Force</t>
  </si>
  <si>
    <t>RMS Force</t>
  </si>
  <si>
    <t>CHgT</t>
  </si>
  <si>
    <t>_gaussian</t>
  </si>
  <si>
    <t>Partial dft min</t>
  </si>
  <si>
    <t>Amber Min min eq</t>
  </si>
  <si>
    <t>amb rest min eq</t>
  </si>
  <si>
    <t>final param min eq</t>
  </si>
  <si>
    <t>FF min eq</t>
  </si>
  <si>
    <t>CAg2T3</t>
  </si>
  <si>
    <t>3.0 Ang min eq</t>
  </si>
  <si>
    <t>3.4 Ang min eq</t>
  </si>
  <si>
    <t>single FF</t>
  </si>
  <si>
    <t>AG2 X-Stretch</t>
  </si>
  <si>
    <t>AG2 Y Stretch</t>
  </si>
  <si>
    <t>AG2 Z Stretch</t>
  </si>
  <si>
    <t>AG-O4 Bond Stretch</t>
  </si>
  <si>
    <t>Total</t>
  </si>
  <si>
    <t>LJ</t>
  </si>
  <si>
    <t>Coulomb</t>
  </si>
  <si>
    <t>AVE</t>
  </si>
  <si>
    <t>STD DEV</t>
  </si>
  <si>
    <t>AVE (%)</t>
  </si>
  <si>
    <t>STD DEV (%)</t>
  </si>
  <si>
    <t>Y_LJ</t>
  </si>
  <si>
    <t>Y_Coulomb</t>
  </si>
  <si>
    <t>Relative Contrib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</si>
</sst>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1" numFmtId="11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horizontal="center" readingOrder="0"/>
    </xf>
    <xf borderId="0" fillId="0" fontId="1" numFmtId="2" xfId="0" applyFont="1" applyNumberFormat="1"/>
    <xf borderId="0" fillId="0" fontId="3" numFmtId="2" xfId="0" applyFont="1" applyNumberFormat="1"/>
    <xf borderId="0" fillId="0" fontId="2" numFmtId="164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1" numFmtId="164" xfId="0" applyFont="1" applyNumberFormat="1"/>
    <xf borderId="0" fillId="0" fontId="6" numFmtId="0" xfId="0" applyAlignment="1" applyFont="1">
      <alignment horizontal="center"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512367625961035"/>
          <c:y val="0.08389830508474573"/>
          <c:w val="0.7136042389347358"/>
          <c:h val="0.6703389830508475"/>
        </c:manualLayout>
      </c:layout>
      <c:lineChart>
        <c:ser>
          <c:idx val="0"/>
          <c:order val="0"/>
          <c:tx>
            <c:v>MD (All Bonds)</c:v>
          </c:tx>
          <c:spPr>
            <a:ln cmpd="sng">
              <a:solidFill>
                <a:srgbClr val="9900FF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900FF">
                  <a:alpha val="100000"/>
                </a:srgbClr>
              </a:solidFill>
              <a:ln cmpd="sng">
                <a:solidFill>
                  <a:srgbClr val="9900FF">
                    <a:alpha val="100000"/>
                  </a:srgbClr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cat>
            <c:strRef>
              <c:f>AG1ParamCompare!$A$2:$A$19</c:f>
            </c:strRef>
          </c:cat>
          <c:val>
            <c:numRef>
              <c:f>AG1ParamCompare!$C$2:$C$19</c:f>
              <c:numCache/>
            </c:numRef>
          </c:val>
          <c:smooth val="0"/>
        </c:ser>
        <c:ser>
          <c:idx val="1"/>
          <c:order val="1"/>
          <c:tx>
            <c:v>MD (Non-zero bonds)</c:v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cat>
            <c:strRef>
              <c:f>AG1ParamCompare!$A$2:$A$19</c:f>
            </c:strRef>
          </c:cat>
          <c:val>
            <c:numRef>
              <c:f>AG1ParamCompare!$F$2:$F$19</c:f>
              <c:numCache/>
            </c:numRef>
          </c:val>
          <c:smooth val="0"/>
        </c:ser>
        <c:ser>
          <c:idx val="2"/>
          <c:order val="2"/>
          <c:tx>
            <c:v>DFT (PCM Model)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3"/>
            <c:marker>
              <c:symbol val="none"/>
            </c:marker>
          </c:dPt>
          <c:cat>
            <c:strRef>
              <c:f>AG1ParamCompare!$A$2:$A$19</c:f>
            </c:strRef>
          </c:cat>
          <c:val>
            <c:numRef>
              <c:f>AG1ParamCompare!$I$2:$I$19</c:f>
              <c:numCache/>
            </c:numRef>
          </c:val>
          <c:smooth val="0"/>
        </c:ser>
        <c:axId val="1270457981"/>
        <c:axId val="1408856236"/>
      </c:lineChart>
      <c:catAx>
        <c:axId val="1270457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AG1-O4 Bond Stretch (Å)</a:t>
                </a:r>
              </a:p>
            </c:rich>
          </c:tx>
          <c:layout>
            <c:manualLayout>
              <c:xMode val="edge"/>
              <c:yMode val="edge"/>
              <c:x val="0.2515901073550167"/>
              <c:y val="0.910451977401129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856236"/>
      </c:catAx>
      <c:valAx>
        <c:axId val="1408856236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(eV)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45798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512367625961035"/>
          <c:y val="0.08389830508474573"/>
          <c:w val="0.7136042389347358"/>
          <c:h val="0.6703389830508475"/>
        </c:manualLayout>
      </c:layout>
      <c:lineChart>
        <c:ser>
          <c:idx val="0"/>
          <c:order val="0"/>
          <c:tx>
            <c:v>MD (All Bonds)</c:v>
          </c:tx>
          <c:spPr>
            <a:ln cmpd="sng">
              <a:solidFill>
                <a:srgbClr val="9900FF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900FF">
                  <a:alpha val="100000"/>
                </a:srgbClr>
              </a:solidFill>
              <a:ln cmpd="sng">
                <a:solidFill>
                  <a:srgbClr val="9900FF">
                    <a:alpha val="100000"/>
                  </a:srgbClr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cat>
            <c:strRef>
              <c:f>AG1ParamCompare!$A$2:$A$19</c:f>
            </c:strRef>
          </c:cat>
          <c:val>
            <c:numRef>
              <c:f>AG1ParamCompare!$F$2:$F$19</c:f>
              <c:numCache/>
            </c:numRef>
          </c:val>
          <c:smooth val="0"/>
        </c:ser>
        <c:ser>
          <c:idx val="1"/>
          <c:order val="1"/>
          <c:tx>
            <c:v>MD (Non-zero bonds)</c:v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cat>
            <c:strRef>
              <c:f>AG1ParamCompare!$A$2:$A$19</c:f>
            </c:strRef>
          </c:cat>
          <c:val>
            <c:numRef>
              <c:f>AG1ParamCompare!$C$2:$C$19</c:f>
              <c:numCache/>
            </c:numRef>
          </c:val>
          <c:smooth val="0"/>
        </c:ser>
        <c:ser>
          <c:idx val="2"/>
          <c:order val="2"/>
          <c:tx>
            <c:v>DFT (PCM Model)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3"/>
            <c:marker>
              <c:symbol val="none"/>
            </c:marker>
          </c:dPt>
          <c:cat>
            <c:strRef>
              <c:f>AG1ParamCompare!$A$2:$A$19</c:f>
            </c:strRef>
          </c:cat>
          <c:val>
            <c:numRef>
              <c:f>AG1ParamCompare!$I$2:$I$19</c:f>
              <c:numCache/>
            </c:numRef>
          </c:val>
          <c:smooth val="0"/>
        </c:ser>
        <c:axId val="1805299454"/>
        <c:axId val="1902981659"/>
      </c:lineChart>
      <c:catAx>
        <c:axId val="1805299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AG1-O4 Bond Stretch (Å)</a:t>
                </a:r>
              </a:p>
            </c:rich>
          </c:tx>
          <c:layout>
            <c:manualLayout>
              <c:xMode val="edge"/>
              <c:yMode val="edge"/>
              <c:x val="0.2515901073550167"/>
              <c:y val="0.910451977401129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981659"/>
      </c:catAx>
      <c:valAx>
        <c:axId val="1902981659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(eV)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29945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MD (All Bonds)</c:v>
          </c:tx>
          <c:spPr>
            <a:ln cmpd="sng">
              <a:solidFill>
                <a:srgbClr val="9900FF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900FF">
                  <a:alpha val="100000"/>
                </a:srgbClr>
              </a:solidFill>
              <a:ln cmpd="sng">
                <a:solidFill>
                  <a:srgbClr val="9900FF">
                    <a:alpha val="100000"/>
                  </a:srgbClr>
                </a:solidFill>
              </a:ln>
            </c:spPr>
          </c:marker>
          <c:dPt>
            <c:idx val="1"/>
            <c:marker>
              <c:symbol val="none"/>
            </c:marker>
          </c:dPt>
          <c:cat>
            <c:strRef>
              <c:f>AG2ParamCompare!$K$3:$K$19</c:f>
            </c:strRef>
          </c:cat>
          <c:val>
            <c:numRef>
              <c:f>AG2ParamCompare!$M$3:$M$19</c:f>
              <c:numCache/>
            </c:numRef>
          </c:val>
          <c:smooth val="0"/>
        </c:ser>
        <c:ser>
          <c:idx val="1"/>
          <c:order val="1"/>
          <c:tx>
            <c:v>MD (Non-zero Bonds)</c:v>
          </c:tx>
          <c:spPr>
            <a:ln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AG2ParamCompare!$K$3:$K$19</c:f>
            </c:strRef>
          </c:cat>
          <c:val>
            <c:numRef>
              <c:f>AG2ParamCompare!$P$3:$P$19</c:f>
              <c:numCache/>
            </c:numRef>
          </c:val>
          <c:smooth val="0"/>
        </c:ser>
        <c:ser>
          <c:idx val="2"/>
          <c:order val="2"/>
          <c:tx>
            <c:v>DFT Results</c:v>
          </c:tx>
          <c:spPr>
            <a:ln cmpd="sng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AG2ParamCompare!$K$3:$K$19</c:f>
            </c:strRef>
          </c:cat>
          <c:val>
            <c:numRef>
              <c:f>AG2ParamCompare!$S$3:$S$19</c:f>
              <c:numCache/>
            </c:numRef>
          </c:val>
          <c:smooth val="0"/>
        </c:ser>
        <c:axId val="665920128"/>
        <c:axId val="1863684484"/>
      </c:lineChart>
      <c:catAx>
        <c:axId val="665920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AG2 Y Stretch (Å)</a:t>
                </a:r>
              </a:p>
            </c:rich>
          </c:tx>
          <c:layout>
            <c:manualLayout>
              <c:xMode val="edge"/>
              <c:yMode val="edge"/>
              <c:x val="0.1270833346048991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684484"/>
      </c:catAx>
      <c:valAx>
        <c:axId val="1863684484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(eV)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92012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MD (All Bonds)</c:v>
          </c:tx>
          <c:spPr>
            <a:ln cmpd="sng">
              <a:solidFill>
                <a:srgbClr val="9900FF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900FF">
                  <a:alpha val="100000"/>
                </a:srgbClr>
              </a:solidFill>
              <a:ln cmpd="sng">
                <a:solidFill>
                  <a:srgbClr val="9900FF">
                    <a:alpha val="100000"/>
                  </a:srgbClr>
                </a:solidFill>
              </a:ln>
            </c:spPr>
          </c:marker>
          <c:cat>
            <c:strRef>
              <c:f>AG2ParamCompare!$A$3:$A$19</c:f>
            </c:strRef>
          </c:cat>
          <c:val>
            <c:numRef>
              <c:f>AG2ParamCompare!$C$3:$C$19</c:f>
              <c:numCache/>
            </c:numRef>
          </c:val>
          <c:smooth val="0"/>
        </c:ser>
        <c:ser>
          <c:idx val="1"/>
          <c:order val="1"/>
          <c:tx>
            <c:v>MD (Non-zero Bonds)</c:v>
          </c:tx>
          <c:spPr>
            <a:ln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1"/>
            <c:marker>
              <c:symbol val="none"/>
            </c:marker>
          </c:dPt>
          <c:cat>
            <c:strRef>
              <c:f>AG2ParamCompare!$A$3:$A$19</c:f>
            </c:strRef>
          </c:cat>
          <c:val>
            <c:numRef>
              <c:f>AG2ParamCompare!$F$3:$F$19</c:f>
              <c:numCache/>
            </c:numRef>
          </c:val>
          <c:smooth val="0"/>
        </c:ser>
        <c:ser>
          <c:idx val="2"/>
          <c:order val="2"/>
          <c:tx>
            <c:v>DFT Results</c:v>
          </c:tx>
          <c:spPr>
            <a:ln cmpd="sng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4"/>
            <c:marker>
              <c:symbol val="none"/>
            </c:marker>
          </c:dPt>
          <c:cat>
            <c:strRef>
              <c:f>AG2ParamCompare!$A$3:$A$19</c:f>
            </c:strRef>
          </c:cat>
          <c:val>
            <c:numRef>
              <c:f>AG2ParamCompare!$I$3:$I$19</c:f>
              <c:numCache/>
            </c:numRef>
          </c:val>
          <c:smooth val="0"/>
        </c:ser>
        <c:axId val="630715991"/>
        <c:axId val="68732854"/>
      </c:lineChart>
      <c:catAx>
        <c:axId val="630715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AG2  X Stretch (Å)</a:t>
                </a:r>
              </a:p>
            </c:rich>
          </c:tx>
          <c:layout>
            <c:manualLayout>
              <c:xMode val="edge"/>
              <c:yMode val="edge"/>
              <c:x val="0.1270833346048991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32854"/>
      </c:catAx>
      <c:valAx>
        <c:axId val="68732854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(eV)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715991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MD (All Bonds)</c:v>
          </c:tx>
          <c:spPr>
            <a:ln cmpd="sng">
              <a:solidFill>
                <a:srgbClr val="9900FF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900FF">
                  <a:alpha val="100000"/>
                </a:srgbClr>
              </a:solidFill>
              <a:ln cmpd="sng">
                <a:solidFill>
                  <a:srgbClr val="9900FF">
                    <a:alpha val="100000"/>
                  </a:srgbClr>
                </a:solidFill>
              </a:ln>
            </c:spPr>
          </c:marker>
          <c:dPt>
            <c:idx val="1"/>
            <c:marker>
              <c:symbol val="none"/>
            </c:marker>
          </c:dPt>
          <c:cat>
            <c:strRef>
              <c:f>AG2ParamCompare!$U$3:$U$19</c:f>
            </c:strRef>
          </c:cat>
          <c:val>
            <c:numRef>
              <c:f>AG2ParamCompare!$W$3:$W$19</c:f>
              <c:numCache/>
            </c:numRef>
          </c:val>
          <c:smooth val="0"/>
        </c:ser>
        <c:ser>
          <c:idx val="1"/>
          <c:order val="1"/>
          <c:tx>
            <c:v>MD (Non-zero Bonds)</c:v>
          </c:tx>
          <c:spPr>
            <a:ln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AG2ParamCompare!$U$3:$U$19</c:f>
            </c:strRef>
          </c:cat>
          <c:val>
            <c:numRef>
              <c:f>AG2ParamCompare!$Z$3:$Z$19</c:f>
              <c:numCache/>
            </c:numRef>
          </c:val>
          <c:smooth val="0"/>
        </c:ser>
        <c:ser>
          <c:idx val="2"/>
          <c:order val="2"/>
          <c:tx>
            <c:v>DFT Results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cat>
            <c:strRef>
              <c:f>AG2ParamCompare!$U$3:$U$19</c:f>
            </c:strRef>
          </c:cat>
          <c:val>
            <c:numRef>
              <c:f>AG2ParamCompare!$AC$3:$AC$19</c:f>
              <c:numCache/>
            </c:numRef>
          </c:val>
          <c:smooth val="0"/>
        </c:ser>
        <c:axId val="1991647178"/>
        <c:axId val="773914521"/>
      </c:lineChart>
      <c:catAx>
        <c:axId val="1991647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AG2 Z Stretch (Å)</a:t>
                </a:r>
              </a:p>
            </c:rich>
          </c:tx>
          <c:layout>
            <c:manualLayout>
              <c:xMode val="edge"/>
              <c:yMode val="edge"/>
              <c:x val="0.1270833346048991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914521"/>
      </c:catAx>
      <c:valAx>
        <c:axId val="773914521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(eV)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647178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512367625961035"/>
          <c:y val="0.08389830508474573"/>
          <c:w val="0.7136042389347358"/>
          <c:h val="0.6703389830508475"/>
        </c:manualLayout>
      </c:layout>
      <c:lineChart>
        <c:ser>
          <c:idx val="0"/>
          <c:order val="0"/>
          <c:tx>
            <c:v>MD (All Bonds)</c:v>
          </c:tx>
          <c:spPr>
            <a:ln cmpd="sng">
              <a:solidFill>
                <a:srgbClr val="4285F4"/>
              </a:solidFill>
              <a:prstDash val="dash"/>
            </a:ln>
          </c:spPr>
          <c:marker>
            <c:symbol val="none"/>
          </c:marker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cat>
            <c:strRef>
              <c:f>AG1AngRestCompare!$A$2:$A$19</c:f>
            </c:strRef>
          </c:cat>
          <c:val>
            <c:numRef>
              <c:f>AG1AngRestCompare!$C$2:$C$19</c:f>
              <c:numCache/>
            </c:numRef>
          </c:val>
          <c:smooth val="0"/>
        </c:ser>
        <c:ser>
          <c:idx val="1"/>
          <c:order val="1"/>
          <c:tx>
            <c:v>MD (Non-zero bonds)</c:v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cat>
            <c:strRef>
              <c:f>AG1AngRestCompare!$A$2:$A$19</c:f>
            </c:strRef>
          </c:cat>
          <c:val>
            <c:numRef>
              <c:f>AG1AngRestCompare!$F$2:$F$19</c:f>
              <c:numCache/>
            </c:numRef>
          </c:val>
          <c:smooth val="0"/>
        </c:ser>
        <c:ser>
          <c:idx val="2"/>
          <c:order val="2"/>
          <c:tx>
            <c:v>DFT (PCM Model)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3"/>
            <c:marker>
              <c:symbol val="none"/>
            </c:marker>
          </c:dPt>
          <c:cat>
            <c:strRef>
              <c:f>AG1AngRestCompare!$A$2:$A$19</c:f>
            </c:strRef>
          </c:cat>
          <c:val>
            <c:numRef>
              <c:f>AG1AngRestCompare!$I$2:$I$19</c:f>
              <c:numCache/>
            </c:numRef>
          </c:val>
          <c:smooth val="0"/>
        </c:ser>
        <c:axId val="1829335471"/>
        <c:axId val="906120604"/>
      </c:lineChart>
      <c:catAx>
        <c:axId val="1829335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AG1-O4 Bond Stretch (Å)</a:t>
                </a:r>
              </a:p>
            </c:rich>
          </c:tx>
          <c:layout>
            <c:manualLayout>
              <c:xMode val="edge"/>
              <c:yMode val="edge"/>
              <c:x val="0.2515901073550167"/>
              <c:y val="0.910451977401129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120604"/>
      </c:catAx>
      <c:valAx>
        <c:axId val="90612060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(eV)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335471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MD (All Bonds)</c:v>
          </c:tx>
          <c:spPr>
            <a:ln cmpd="sng">
              <a:solidFill>
                <a:srgbClr val="4285F4"/>
              </a:solidFill>
              <a:prstDash val="dash"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cat>
            <c:strRef>
              <c:f>AG2AngRestCompare!$K$3:$K$19</c:f>
            </c:strRef>
          </c:cat>
          <c:val>
            <c:numRef>
              <c:f>AG2AngRestCompare!$M$3:$M$19</c:f>
              <c:numCache/>
            </c:numRef>
          </c:val>
          <c:smooth val="0"/>
        </c:ser>
        <c:ser>
          <c:idx val="1"/>
          <c:order val="1"/>
          <c:tx>
            <c:v>MD (Non-zero Bonds)</c:v>
          </c:tx>
          <c:spPr>
            <a:ln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AG2AngRestCompare!$K$3:$K$19</c:f>
            </c:strRef>
          </c:cat>
          <c:val>
            <c:numRef>
              <c:f>AG2AngRestCompare!$P$3:$P$19</c:f>
              <c:numCache/>
            </c:numRef>
          </c:val>
          <c:smooth val="0"/>
        </c:ser>
        <c:ser>
          <c:idx val="2"/>
          <c:order val="2"/>
          <c:tx>
            <c:v>DFT Results</c:v>
          </c:tx>
          <c:spPr>
            <a:ln cmpd="sng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AG2AngRestCompare!$K$3:$K$19</c:f>
            </c:strRef>
          </c:cat>
          <c:val>
            <c:numRef>
              <c:f>AG2AngRestCompare!$S$3:$S$19</c:f>
              <c:numCache/>
            </c:numRef>
          </c:val>
          <c:smooth val="0"/>
        </c:ser>
        <c:axId val="91988928"/>
        <c:axId val="607980432"/>
      </c:lineChart>
      <c:catAx>
        <c:axId val="9198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AG2 Y Stretch (Å)</a:t>
                </a:r>
              </a:p>
            </c:rich>
          </c:tx>
          <c:layout>
            <c:manualLayout>
              <c:xMode val="edge"/>
              <c:yMode val="edge"/>
              <c:x val="0.1270833346048991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980432"/>
      </c:catAx>
      <c:valAx>
        <c:axId val="60798043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(eV)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88928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MD (All Bonds)</c:v>
          </c:tx>
          <c:spPr>
            <a:ln cmpd="sng">
              <a:solidFill>
                <a:srgbClr val="4285F4"/>
              </a:solidFill>
              <a:prstDash val="dash"/>
            </a:ln>
          </c:spPr>
          <c:marker>
            <c:symbol val="none"/>
          </c:marker>
          <c:cat>
            <c:strRef>
              <c:f>AG2AngRestCompare!$A$3:$A$19</c:f>
            </c:strRef>
          </c:cat>
          <c:val>
            <c:numRef>
              <c:f>AG2AngRestCompare!$C$3:$C$19</c:f>
              <c:numCache/>
            </c:numRef>
          </c:val>
          <c:smooth val="0"/>
        </c:ser>
        <c:ser>
          <c:idx val="1"/>
          <c:order val="1"/>
          <c:tx>
            <c:v>MD (Non-zero Bonds)</c:v>
          </c:tx>
          <c:spPr>
            <a:ln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1"/>
            <c:marker>
              <c:symbol val="none"/>
            </c:marker>
          </c:dPt>
          <c:cat>
            <c:strRef>
              <c:f>AG2AngRestCompare!$A$3:$A$19</c:f>
            </c:strRef>
          </c:cat>
          <c:val>
            <c:numRef>
              <c:f>AG2AngRestCompare!$F$3:$F$19</c:f>
              <c:numCache/>
            </c:numRef>
          </c:val>
          <c:smooth val="0"/>
        </c:ser>
        <c:ser>
          <c:idx val="2"/>
          <c:order val="2"/>
          <c:tx>
            <c:v>DFT Results</c:v>
          </c:tx>
          <c:spPr>
            <a:ln cmpd="sng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4"/>
            <c:marker>
              <c:symbol val="none"/>
            </c:marker>
          </c:dPt>
          <c:cat>
            <c:strRef>
              <c:f>AG2AngRestCompare!$A$3:$A$19</c:f>
            </c:strRef>
          </c:cat>
          <c:val>
            <c:numRef>
              <c:f>AG2AngRestCompare!$I$3:$I$19</c:f>
              <c:numCache/>
            </c:numRef>
          </c:val>
          <c:smooth val="0"/>
        </c:ser>
        <c:axId val="1424447036"/>
        <c:axId val="1816361239"/>
      </c:lineChart>
      <c:catAx>
        <c:axId val="1424447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AG2  X Stretch (Å)</a:t>
                </a:r>
              </a:p>
            </c:rich>
          </c:tx>
          <c:layout>
            <c:manualLayout>
              <c:xMode val="edge"/>
              <c:yMode val="edge"/>
              <c:x val="0.1270833346048991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361239"/>
      </c:catAx>
      <c:valAx>
        <c:axId val="181636123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(eV)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447036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MD (All Bonds)</c:v>
          </c:tx>
          <c:spPr>
            <a:ln cmpd="sng">
              <a:solidFill>
                <a:srgbClr val="4285F4"/>
              </a:solidFill>
              <a:prstDash val="dash"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cat>
            <c:strRef>
              <c:f>AG2AngRestCompare!$U$3:$U$19</c:f>
            </c:strRef>
          </c:cat>
          <c:val>
            <c:numRef>
              <c:f>AG2AngRestCompare!$W$3:$W$19</c:f>
              <c:numCache/>
            </c:numRef>
          </c:val>
          <c:smooth val="0"/>
        </c:ser>
        <c:ser>
          <c:idx val="1"/>
          <c:order val="1"/>
          <c:tx>
            <c:v>MD (Non-zero Bonds)</c:v>
          </c:tx>
          <c:spPr>
            <a:ln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AG2AngRestCompare!$U$3:$U$19</c:f>
            </c:strRef>
          </c:cat>
          <c:val>
            <c:numRef>
              <c:f>AG2AngRestCompare!$Z$3:$Z$19</c:f>
              <c:numCache/>
            </c:numRef>
          </c:val>
          <c:smooth val="0"/>
        </c:ser>
        <c:ser>
          <c:idx val="2"/>
          <c:order val="2"/>
          <c:tx>
            <c:v>DFT Results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cat>
            <c:strRef>
              <c:f>AG2AngRestCompare!$U$3:$U$19</c:f>
            </c:strRef>
          </c:cat>
          <c:val>
            <c:numRef>
              <c:f>AG2AngRestCompare!$AC$3:$AC$19</c:f>
              <c:numCache/>
            </c:numRef>
          </c:val>
          <c:smooth val="0"/>
        </c:ser>
        <c:axId val="526433509"/>
        <c:axId val="1638092334"/>
      </c:lineChart>
      <c:catAx>
        <c:axId val="526433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AG2 Z Stretch (Å)</a:t>
                </a:r>
              </a:p>
            </c:rich>
          </c:tx>
          <c:layout>
            <c:manualLayout>
              <c:xMode val="edge"/>
              <c:yMode val="edge"/>
              <c:x val="0.1270833346048991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092334"/>
      </c:catAx>
      <c:valAx>
        <c:axId val="163809233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(eV)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433509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Vacuum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'DTM Comparison'!$M$4:$M$39</c:f>
            </c:numRef>
          </c:xVal>
          <c:yVal>
            <c:numRef>
              <c:f>'DTM Comparison'!$W$4:$W$55</c:f>
              <c:numCache/>
            </c:numRef>
          </c:yVal>
        </c:ser>
        <c:ser>
          <c:idx val="1"/>
          <c:order val="1"/>
          <c:tx>
            <c:v>PCM 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xVal>
            <c:numRef>
              <c:f>'DTM Comparison'!$M$4:$M$39</c:f>
            </c:numRef>
          </c:xVal>
          <c:yVal>
            <c:numRef>
              <c:f>'DTM Comparison'!$X$4:$X$55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332429"/>
        <c:axId val="1645185329"/>
      </c:scatterChart>
      <c:valAx>
        <c:axId val="19453324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 Diff from Equilibrium (Angstroms)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185329"/>
      </c:valAx>
      <c:valAx>
        <c:axId val="1645185329"/>
        <c:scaling>
          <c:orientation val="minMax"/>
          <c:max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Mulliken Charge (q)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3324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Thymine N3-H3 Bond Stretch</a:t>
            </a:r>
          </a:p>
        </c:rich>
      </c:tx>
      <c:overlay val="0"/>
    </c:title>
    <c:plotArea>
      <c:layout/>
      <c:lineChart>
        <c:ser>
          <c:idx val="0"/>
          <c:order val="0"/>
          <c:tx>
            <c:v>parmBSC1</c:v>
          </c:tx>
          <c:spPr>
            <a:ln cmpd="sng">
              <a:solidFill>
                <a:schemeClr val="accent1"/>
              </a:solidFill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6"/>
            <c:marker>
              <c:symbol val="none"/>
            </c:marker>
          </c:dPt>
          <c:dPt>
            <c:idx val="19"/>
            <c:marker>
              <c:symbol val="none"/>
            </c:marker>
          </c:dPt>
          <c:cat>
            <c:strRef>
              <c:f>'DTM Comparison'!$M$4:$M$39</c:f>
            </c:strRef>
          </c:cat>
          <c:val>
            <c:numRef>
              <c:f>'DTM Comparison'!$U$4:$U$39</c:f>
              <c:numCache/>
            </c:numRef>
          </c:val>
          <c:smooth val="0"/>
        </c:ser>
        <c:ser>
          <c:idx val="1"/>
          <c:order val="1"/>
          <c:tx>
            <c:v>DFT (Vacuum)</c:v>
          </c:tx>
          <c:spPr>
            <a:ln cmpd="sng">
              <a:solidFill>
                <a:schemeClr val="accent3"/>
              </a:solidFill>
            </a:ln>
          </c:spPr>
          <c:marker>
            <c:symbol val="circle"/>
            <c:size val="10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Pt>
            <c:idx val="9"/>
            <c:marker>
              <c:symbol val="none"/>
            </c:marker>
          </c:dPt>
          <c:cat>
            <c:strRef>
              <c:f>'DTM Comparison'!$M$4:$M$39</c:f>
            </c:strRef>
          </c:cat>
          <c:val>
            <c:numRef>
              <c:f>'DTM Comparison'!$R$4:$R$39</c:f>
              <c:numCache/>
            </c:numRef>
          </c:val>
          <c:smooth val="0"/>
        </c:ser>
        <c:ser>
          <c:idx val="2"/>
          <c:order val="2"/>
          <c:tx>
            <c:v>DFT (PCM Model)</c:v>
          </c:tx>
          <c:spPr>
            <a:ln cmpd="sng">
              <a:solidFill>
                <a:schemeClr val="accent4"/>
              </a:solidFill>
            </a:ln>
          </c:spPr>
          <c:marker>
            <c:symbol val="circle"/>
            <c:size val="10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4"/>
            <c:marker>
              <c:symbol val="none"/>
            </c:marker>
          </c:dPt>
          <c:cat>
            <c:strRef>
              <c:f>'DTM Comparison'!$M$4:$M$39</c:f>
            </c:strRef>
          </c:cat>
          <c:val>
            <c:numRef>
              <c:f>'DTM Comparison'!$O$4:$O$39</c:f>
              <c:numCache/>
            </c:numRef>
          </c:val>
          <c:smooth val="0"/>
        </c:ser>
        <c:axId val="1251813792"/>
        <c:axId val="441642047"/>
      </c:lineChart>
      <c:catAx>
        <c:axId val="1251813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Diff from Equilibrium Distance (Angstroms)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642047"/>
      </c:catAx>
      <c:valAx>
        <c:axId val="441642047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Energy Diff  from Equilibrium (eV)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1813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O4-AG1 Bond Stretch Energy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Generated Force Field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3"/>
            <c:marker>
              <c:symbol val="none"/>
            </c:marker>
          </c:dPt>
          <c:cat>
            <c:strRef>
              <c:f>'DTM Comparison'!$A$4:$A$20</c:f>
            </c:strRef>
          </c:cat>
          <c:val>
            <c:numRef>
              <c:f>'DTM Comparison'!$C$4:$C$20</c:f>
              <c:numCache/>
            </c:numRef>
          </c:val>
          <c:smooth val="0"/>
        </c:ser>
        <c:ser>
          <c:idx val="1"/>
          <c:order val="1"/>
          <c:tx>
            <c:v>DFT (Vacuum)</c:v>
          </c:tx>
          <c:spPr>
            <a:ln cmpd="sng">
              <a:solidFill>
                <a:schemeClr val="accent3"/>
              </a:solidFill>
              <a:prstDash val="solid"/>
            </a:ln>
          </c:spPr>
          <c:marker>
            <c:symbol val="circle"/>
            <c:size val="10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'DTM Comparison'!$A$4:$A$20</c:f>
            </c:strRef>
          </c:cat>
          <c:val>
            <c:numRef>
              <c:f>'DTM Comparison'!$F$4:$F$20</c:f>
              <c:numCache/>
            </c:numRef>
          </c:val>
          <c:smooth val="0"/>
        </c:ser>
        <c:ser>
          <c:idx val="2"/>
          <c:order val="2"/>
          <c:tx>
            <c:v>DFT (PCM Model)</c:v>
          </c:tx>
          <c:spPr>
            <a:ln cmpd="sng">
              <a:solidFill>
                <a:schemeClr val="accent4"/>
              </a:solidFill>
            </a:ln>
          </c:spPr>
          <c:marker>
            <c:symbol val="circle"/>
            <c:size val="10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'DTM Comparison'!$A$4:$A$20</c:f>
            </c:strRef>
          </c:cat>
          <c:val>
            <c:numRef>
              <c:f>'DTM Comparison'!$I$4:$I$20</c:f>
              <c:numCache/>
            </c:numRef>
          </c:val>
          <c:smooth val="0"/>
        </c:ser>
        <c:axId val="2051398079"/>
        <c:axId val="151277546"/>
      </c:lineChart>
      <c:catAx>
        <c:axId val="205139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 Diff from Equilibrium (Angstroms)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77546"/>
      </c:catAx>
      <c:valAx>
        <c:axId val="151277546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Energy Diff from Equilibrium (eV)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1398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Vacuum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Pt>
            <c:idx val="4"/>
            <c:marker>
              <c:symbol val="none"/>
            </c:marker>
          </c:dPt>
          <c:xVal>
            <c:numRef>
              <c:f>'DTM Comparison'!$J$4:$J$20</c:f>
            </c:numRef>
          </c:xVal>
          <c:yVal>
            <c:numRef>
              <c:f>'DTM Comparison'!$K$4:$K$20</c:f>
              <c:numCache/>
            </c:numRef>
          </c:yVal>
        </c:ser>
        <c:ser>
          <c:idx val="1"/>
          <c:order val="1"/>
          <c:tx>
            <c:v>PCM 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'DTM Comparison'!$J$4:$J$20</c:f>
            </c:numRef>
          </c:xVal>
          <c:yVal>
            <c:numRef>
              <c:f>'DTM Comparison'!$L$4:$L$20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244053"/>
        <c:axId val="955145674"/>
      </c:scatterChart>
      <c:valAx>
        <c:axId val="11172440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 Diff from Equilibrium (Angstroms)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145674"/>
      </c:valAx>
      <c:valAx>
        <c:axId val="955145674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Mulliken Charge (q)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244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Vacuum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'DTM Comparison'!$V$40:$V$55</c:f>
            </c:numRef>
          </c:xVal>
          <c:yVal>
            <c:numRef>
              <c:f>'DTM Comparison'!$W$40:$W$55</c:f>
              <c:numCache/>
            </c:numRef>
          </c:yVal>
        </c:ser>
        <c:ser>
          <c:idx val="1"/>
          <c:order val="1"/>
          <c:tx>
            <c:v>PCM 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xVal>
            <c:numRef>
              <c:f>'DTM Comparison'!$V$40:$V$55</c:f>
            </c:numRef>
          </c:xVal>
          <c:yVal>
            <c:numRef>
              <c:f>'DTM Comparison'!$X$40:$X$55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383855"/>
        <c:axId val="1002641476"/>
      </c:scatterChart>
      <c:valAx>
        <c:axId val="9703838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 Diff from Equilibrium (Angstroms)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641476"/>
      </c:valAx>
      <c:valAx>
        <c:axId val="1002641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Mulliken Charge (q)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3838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'LJ vs Coulomb (7BP)'!$B$21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(7BP)'!$B$22:$B$38</c:f>
              <c:numCache/>
            </c:numRef>
          </c:val>
          <c:smooth val="0"/>
        </c:ser>
        <c:ser>
          <c:idx val="1"/>
          <c:order val="1"/>
          <c:tx>
            <c:strRef>
              <c:f>'LJ vs Coulomb (7BP)'!$C$21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(7BP)'!$C$22:$C$38</c:f>
              <c:numCache/>
            </c:numRef>
          </c:val>
          <c:smooth val="0"/>
        </c:ser>
        <c:ser>
          <c:idx val="2"/>
          <c:order val="2"/>
          <c:tx>
            <c:strRef>
              <c:f>'LJ vs Coulomb (7BP)'!$D$21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(7BP)'!$D$22:$D$38</c:f>
              <c:numCache/>
            </c:numRef>
          </c:val>
          <c:smooth val="0"/>
        </c:ser>
        <c:axId val="1535406960"/>
        <c:axId val="854910985"/>
      </c:lineChart>
      <c:catAx>
        <c:axId val="153540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AG2 X Stretch (Å)</a:t>
                </a:r>
              </a:p>
            </c:rich>
          </c:tx>
          <c:layout>
            <c:manualLayout>
              <c:xMode val="edge"/>
              <c:yMode val="edge"/>
              <c:x val="0.250614331606712"/>
              <c:y val="0.840547263681591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910985"/>
      </c:catAx>
      <c:valAx>
        <c:axId val="854910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Contribution (eV)</a:t>
                </a:r>
              </a:p>
            </c:rich>
          </c:tx>
          <c:layout>
            <c:manualLayout>
              <c:xMode val="edge"/>
              <c:yMode val="edge"/>
              <c:x val="0.06843003412969284"/>
              <c:y val="0.1430348258706467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406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'LJ vs Coulomb (7BP)'!$E$21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(7BP)'!$E$22:$E$38</c:f>
              <c:numCache/>
            </c:numRef>
          </c:val>
          <c:smooth val="0"/>
        </c:ser>
        <c:ser>
          <c:idx val="1"/>
          <c:order val="1"/>
          <c:tx>
            <c:strRef>
              <c:f>'LJ vs Coulomb (7BP)'!$F$21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(7BP)'!$F$22:$F$38</c:f>
              <c:numCache/>
            </c:numRef>
          </c:val>
          <c:smooth val="0"/>
        </c:ser>
        <c:ser>
          <c:idx val="2"/>
          <c:order val="2"/>
          <c:tx>
            <c:strRef>
              <c:f>'LJ vs Coulomb (7BP)'!$G$21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(7BP)'!$G$22:$G$38</c:f>
              <c:numCache/>
            </c:numRef>
          </c:val>
          <c:smooth val="0"/>
        </c:ser>
        <c:axId val="1491811127"/>
        <c:axId val="553585150"/>
      </c:lineChart>
      <c:catAx>
        <c:axId val="1491811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AG2 Y Stretch (Å)</a:t>
                </a:r>
              </a:p>
            </c:rich>
          </c:tx>
          <c:layout>
            <c:manualLayout>
              <c:xMode val="edge"/>
              <c:yMode val="edge"/>
              <c:x val="0.250614331606712"/>
              <c:y val="0.840547263681591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3585150"/>
      </c:catAx>
      <c:valAx>
        <c:axId val="553585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Contribution (eV)</a:t>
                </a:r>
              </a:p>
            </c:rich>
          </c:tx>
          <c:layout>
            <c:manualLayout>
              <c:xMode val="edge"/>
              <c:yMode val="edge"/>
              <c:x val="0.06843003412969284"/>
              <c:y val="0.1430348258706467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811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'LJ vs Coulomb (7BP)'!$H$21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(7BP)'!$H$22:$H$38</c:f>
              <c:numCache/>
            </c:numRef>
          </c:val>
          <c:smooth val="0"/>
        </c:ser>
        <c:ser>
          <c:idx val="1"/>
          <c:order val="1"/>
          <c:tx>
            <c:strRef>
              <c:f>'LJ vs Coulomb (7BP)'!$I$21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(7BP)'!$I$22:$I$38</c:f>
              <c:numCache/>
            </c:numRef>
          </c:val>
          <c:smooth val="0"/>
        </c:ser>
        <c:ser>
          <c:idx val="2"/>
          <c:order val="2"/>
          <c:tx>
            <c:strRef>
              <c:f>'LJ vs Coulomb (7BP)'!$J$21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(7BP)'!$J$22:$J$38</c:f>
              <c:numCache/>
            </c:numRef>
          </c:val>
          <c:smooth val="0"/>
        </c:ser>
        <c:axId val="27542044"/>
        <c:axId val="1620263999"/>
      </c:lineChart>
      <c:catAx>
        <c:axId val="27542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AG2 Z Stretch (Å)</a:t>
                </a:r>
              </a:p>
            </c:rich>
          </c:tx>
          <c:layout>
            <c:manualLayout>
              <c:xMode val="edge"/>
              <c:yMode val="edge"/>
              <c:x val="0.22781570226259204"/>
              <c:y val="0.840547263681591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263999"/>
      </c:catAx>
      <c:valAx>
        <c:axId val="1620263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Contribution (eV)</a:t>
                </a:r>
              </a:p>
            </c:rich>
          </c:tx>
          <c:layout>
            <c:manualLayout>
              <c:xMode val="edge"/>
              <c:yMode val="edge"/>
              <c:x val="0.06843003412969284"/>
              <c:y val="0.1430348258706467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420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'LJ vs Coulomb (7BP)'!$K$21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(7BP)'!$K$22:$K$38</c:f>
              <c:numCache/>
            </c:numRef>
          </c:val>
          <c:smooth val="0"/>
        </c:ser>
        <c:ser>
          <c:idx val="1"/>
          <c:order val="1"/>
          <c:tx>
            <c:strRef>
              <c:f>'LJ vs Coulomb (7BP)'!$L$21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(7BP)'!$L$22:$L$38</c:f>
              <c:numCache/>
            </c:numRef>
          </c:val>
          <c:smooth val="0"/>
        </c:ser>
        <c:ser>
          <c:idx val="2"/>
          <c:order val="2"/>
          <c:tx>
            <c:strRef>
              <c:f>'LJ vs Coulomb (7BP)'!$M$21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'LJ vs Coulomb (7BP)'!$A$22:$A$38</c:f>
            </c:strRef>
          </c:cat>
          <c:val>
            <c:numRef>
              <c:f>'LJ vs Coulomb (7BP)'!$M$22:$M$38</c:f>
              <c:numCache/>
            </c:numRef>
          </c:val>
          <c:smooth val="0"/>
        </c:ser>
        <c:axId val="1346861187"/>
        <c:axId val="2147043250"/>
      </c:lineChart>
      <c:catAx>
        <c:axId val="1346861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AG1-O4 Bond Stretch (Å)</a:t>
                </a:r>
              </a:p>
            </c:rich>
          </c:tx>
          <c:layout>
            <c:manualLayout>
              <c:xMode val="edge"/>
              <c:yMode val="edge"/>
              <c:x val="0.22781570226259204"/>
              <c:y val="0.840547263681591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7043250"/>
      </c:catAx>
      <c:valAx>
        <c:axId val="21470432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ΔE Contribution (eV)</a:t>
                </a:r>
              </a:p>
            </c:rich>
          </c:tx>
          <c:layout>
            <c:manualLayout>
              <c:xMode val="edge"/>
              <c:yMode val="edge"/>
              <c:x val="0.06843003412969284"/>
              <c:y val="0.1430348258706467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861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390525</xdr:colOff>
      <xdr:row>3</xdr:row>
      <xdr:rowOff>180975</xdr:rowOff>
    </xdr:from>
    <xdr:ext cx="2695575" cy="1685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45</xdr:row>
      <xdr:rowOff>180975</xdr:rowOff>
    </xdr:from>
    <xdr:ext cx="2695575" cy="1685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457200</xdr:colOff>
      <xdr:row>21</xdr:row>
      <xdr:rowOff>9525</xdr:rowOff>
    </xdr:from>
    <xdr:ext cx="2695575" cy="1685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657225</xdr:colOff>
      <xdr:row>21</xdr:row>
      <xdr:rowOff>9525</xdr:rowOff>
    </xdr:from>
    <xdr:ext cx="2695575" cy="1685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552450</xdr:colOff>
      <xdr:row>22</xdr:row>
      <xdr:rowOff>171450</xdr:rowOff>
    </xdr:from>
    <xdr:ext cx="2695575" cy="1685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866775</xdr:colOff>
      <xdr:row>3</xdr:row>
      <xdr:rowOff>57150</xdr:rowOff>
    </xdr:from>
    <xdr:ext cx="2695575" cy="1685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21</xdr:row>
      <xdr:rowOff>190500</xdr:rowOff>
    </xdr:from>
    <xdr:ext cx="2695575" cy="16859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304800</xdr:colOff>
      <xdr:row>21</xdr:row>
      <xdr:rowOff>114300</xdr:rowOff>
    </xdr:from>
    <xdr:ext cx="2695575" cy="1685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390525</xdr:colOff>
      <xdr:row>22</xdr:row>
      <xdr:rowOff>133350</xdr:rowOff>
    </xdr:from>
    <xdr:ext cx="2695575" cy="1685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314325</xdr:colOff>
      <xdr:row>45</xdr:row>
      <xdr:rowOff>19050</xdr:rowOff>
    </xdr:from>
    <xdr:ext cx="2657475" cy="16478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1009650</xdr:colOff>
      <xdr:row>41</xdr:row>
      <xdr:rowOff>95250</xdr:rowOff>
    </xdr:from>
    <xdr:ext cx="6172200" cy="30861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247650</xdr:colOff>
      <xdr:row>21</xdr:row>
      <xdr:rowOff>161925</xdr:rowOff>
    </xdr:from>
    <xdr:ext cx="6496050" cy="36480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904875</xdr:colOff>
      <xdr:row>28</xdr:row>
      <xdr:rowOff>28575</xdr:rowOff>
    </xdr:from>
    <xdr:ext cx="2657475" cy="16478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28575</xdr:colOff>
      <xdr:row>43</xdr:row>
      <xdr:rowOff>104775</xdr:rowOff>
    </xdr:from>
    <xdr:ext cx="4895850" cy="30289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247650</xdr:colOff>
      <xdr:row>9</xdr:row>
      <xdr:rowOff>66675</xdr:rowOff>
    </xdr:from>
    <xdr:ext cx="2790825" cy="19145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285750</xdr:colOff>
      <xdr:row>9</xdr:row>
      <xdr:rowOff>66675</xdr:rowOff>
    </xdr:from>
    <xdr:ext cx="2790825" cy="19145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247650</xdr:colOff>
      <xdr:row>19</xdr:row>
      <xdr:rowOff>85725</xdr:rowOff>
    </xdr:from>
    <xdr:ext cx="2790825" cy="19145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285750</xdr:colOff>
      <xdr:row>19</xdr:row>
      <xdr:rowOff>85725</xdr:rowOff>
    </xdr:from>
    <xdr:ext cx="2790825" cy="191452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G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 t="s">
        <v>3</v>
      </c>
      <c r="B2" s="2" t="s">
        <v>4</v>
      </c>
      <c r="C2" s="2" t="s">
        <v>5</v>
      </c>
      <c r="D2" s="2" t="s">
        <v>3</v>
      </c>
      <c r="E2" s="2" t="s">
        <v>4</v>
      </c>
      <c r="F2" s="2" t="s">
        <v>5</v>
      </c>
      <c r="G2" s="2"/>
      <c r="H2" s="2" t="s">
        <v>6</v>
      </c>
      <c r="I2" s="2" t="s">
        <v>5</v>
      </c>
    </row>
    <row r="3">
      <c r="A3" s="2">
        <v>-0.5</v>
      </c>
      <c r="B3" s="2">
        <v>-16.7660325311733</v>
      </c>
      <c r="C3" s="3">
        <f t="shared" ref="C3:C19" si="1">(B3-B$11)</f>
        <v>0.3090894688</v>
      </c>
      <c r="D3" s="2">
        <v>-0.5</v>
      </c>
      <c r="E3" s="2">
        <v>-15.5405351279536</v>
      </c>
      <c r="F3" s="3">
        <f t="shared" ref="F3:F19" si="2">(E3-E$11)</f>
        <v>0.1727224045</v>
      </c>
      <c r="G3" s="2">
        <v>-0.5</v>
      </c>
      <c r="H3" s="2">
        <v>-3116.82999238982</v>
      </c>
      <c r="I3" s="3">
        <f t="shared" ref="I3:I19" si="3">(H3-H$11)*27.211386</f>
        <v>1.005405922</v>
      </c>
    </row>
    <row r="4">
      <c r="A4" s="2">
        <v>-0.4375</v>
      </c>
      <c r="B4" s="2">
        <v>-16.8446413709328</v>
      </c>
      <c r="C4" s="3">
        <f t="shared" si="1"/>
        <v>0.230480629</v>
      </c>
      <c r="D4" s="2">
        <v>-0.4375</v>
      </c>
      <c r="E4" s="2">
        <v>-15.601884570402</v>
      </c>
      <c r="F4" s="3">
        <f t="shared" si="2"/>
        <v>0.1113729621</v>
      </c>
      <c r="G4" s="2">
        <v>-0.4375</v>
      </c>
      <c r="H4" s="2">
        <v>-3116.84318877836</v>
      </c>
      <c r="I4" s="3">
        <f t="shared" si="3"/>
        <v>0.6463138999</v>
      </c>
    </row>
    <row r="5">
      <c r="A5" s="2">
        <v>-0.375</v>
      </c>
      <c r="B5" s="2">
        <v>-16.9118635834854</v>
      </c>
      <c r="C5" s="3">
        <f t="shared" si="1"/>
        <v>0.1632584165</v>
      </c>
      <c r="D5" s="2">
        <v>-0.375</v>
      </c>
      <c r="E5" s="2">
        <v>-15.6518851495223</v>
      </c>
      <c r="F5" s="3">
        <f t="shared" si="2"/>
        <v>0.06137238298</v>
      </c>
      <c r="G5" s="2">
        <v>-0.375</v>
      </c>
      <c r="H5" s="2">
        <v>-3116.85239547791</v>
      </c>
      <c r="I5" s="3">
        <f t="shared" si="3"/>
        <v>0.3957868447</v>
      </c>
    </row>
    <row r="6">
      <c r="A6" s="2">
        <v>-0.3125</v>
      </c>
      <c r="B6" s="2">
        <v>-16.9676814879126</v>
      </c>
      <c r="C6" s="3">
        <f t="shared" si="1"/>
        <v>0.1074405121</v>
      </c>
      <c r="D6" s="2">
        <v>-0.3125</v>
      </c>
      <c r="E6" s="2">
        <v>-15.6905318616506</v>
      </c>
      <c r="F6" s="3">
        <f t="shared" si="2"/>
        <v>0.02272567085</v>
      </c>
      <c r="G6" s="2">
        <v>-0.3125</v>
      </c>
      <c r="H6" s="2">
        <v>-3116.8586495835</v>
      </c>
      <c r="I6" s="3">
        <f t="shared" si="3"/>
        <v>0.2256039634</v>
      </c>
    </row>
    <row r="7">
      <c r="A7" s="2">
        <v>-0.25</v>
      </c>
      <c r="B7" s="2">
        <v>-17.0120778165142</v>
      </c>
      <c r="C7" s="3">
        <f t="shared" si="1"/>
        <v>0.06304418347</v>
      </c>
      <c r="D7" s="2">
        <v>-0.25</v>
      </c>
      <c r="E7" s="2">
        <v>-15.7178192961184</v>
      </c>
      <c r="F7" s="3">
        <f t="shared" si="2"/>
        <v>-0.004561763619</v>
      </c>
      <c r="G7" s="4">
        <v>-0.25</v>
      </c>
      <c r="H7" s="4">
        <v>-3116.86272934241</v>
      </c>
      <c r="I7" s="3">
        <f t="shared" si="3"/>
        <v>0.1145880689</v>
      </c>
    </row>
    <row r="8">
      <c r="A8" s="2">
        <v>-0.1875</v>
      </c>
      <c r="B8" s="2">
        <v>-17.0450358320312</v>
      </c>
      <c r="C8" s="3">
        <f t="shared" si="1"/>
        <v>0.03008616795</v>
      </c>
      <c r="D8" s="2">
        <v>-0.1875</v>
      </c>
      <c r="E8" s="2">
        <v>-15.7337417129056</v>
      </c>
      <c r="F8" s="3">
        <f t="shared" si="2"/>
        <v>-0.02048418041</v>
      </c>
      <c r="G8" s="4">
        <v>-0.1875</v>
      </c>
      <c r="H8" s="4">
        <v>-3116.86520585048</v>
      </c>
      <c r="I8" s="3">
        <f t="shared" si="3"/>
        <v>0.04719885189</v>
      </c>
    </row>
    <row r="9">
      <c r="A9" s="2">
        <v>-0.125</v>
      </c>
      <c r="B9" s="2">
        <v>-17.0665394053285</v>
      </c>
      <c r="C9" s="3">
        <f t="shared" si="1"/>
        <v>0.008582594652</v>
      </c>
      <c r="D9" s="2">
        <v>-0.125</v>
      </c>
      <c r="E9" s="2">
        <v>-15.7382930968917</v>
      </c>
      <c r="F9" s="3">
        <f t="shared" si="2"/>
        <v>-0.02503556439</v>
      </c>
      <c r="G9" s="4">
        <v>-0.125</v>
      </c>
      <c r="H9" s="4">
        <v>-3116.86652514895</v>
      </c>
      <c r="I9" s="3">
        <f t="shared" si="3"/>
        <v>0.01129891197</v>
      </c>
    </row>
    <row r="10">
      <c r="A10" s="2">
        <v>-0.0625</v>
      </c>
      <c r="B10" s="2">
        <v>-17.0765730613737</v>
      </c>
      <c r="C10" s="3">
        <f t="shared" si="1"/>
        <v>-0.001451061393</v>
      </c>
      <c r="D10" s="2">
        <v>-0.0625</v>
      </c>
      <c r="E10" s="2">
        <v>-15.7314671938687</v>
      </c>
      <c r="F10" s="3">
        <f t="shared" si="2"/>
        <v>-0.01820966137</v>
      </c>
      <c r="G10" s="4">
        <v>-0.0625</v>
      </c>
      <c r="H10" s="4">
        <v>-3116.8670286606</v>
      </c>
      <c r="I10" s="3">
        <f t="shared" si="3"/>
        <v>-0.002402337895</v>
      </c>
    </row>
    <row r="11">
      <c r="A11" s="2">
        <v>0.0</v>
      </c>
      <c r="B11" s="2">
        <v>-17.0751219999807</v>
      </c>
      <c r="C11" s="3">
        <f t="shared" si="1"/>
        <v>0</v>
      </c>
      <c r="D11" s="2">
        <v>0.0</v>
      </c>
      <c r="E11" s="2">
        <v>-15.7132575324992</v>
      </c>
      <c r="F11" s="3">
        <f t="shared" si="2"/>
        <v>0</v>
      </c>
      <c r="G11" s="4">
        <v>0.0</v>
      </c>
      <c r="H11" s="4">
        <v>-3116.86694037631</v>
      </c>
      <c r="I11" s="3">
        <f t="shared" si="3"/>
        <v>0</v>
      </c>
    </row>
    <row r="12">
      <c r="A12" s="2">
        <v>0.0625</v>
      </c>
      <c r="B12" s="2">
        <v>-17.0621720966807</v>
      </c>
      <c r="C12" s="3">
        <f t="shared" si="1"/>
        <v>0.0129499033</v>
      </c>
      <c r="D12" s="2">
        <v>0.0625</v>
      </c>
      <c r="E12" s="2">
        <v>-15.6836574356297</v>
      </c>
      <c r="F12" s="3">
        <f t="shared" si="2"/>
        <v>0.02960009687</v>
      </c>
      <c r="G12" s="4">
        <v>0.0625</v>
      </c>
      <c r="H12" s="4">
        <v>-3116.86642663089</v>
      </c>
      <c r="I12" s="3">
        <f t="shared" si="3"/>
        <v>0.01397972493</v>
      </c>
    </row>
    <row r="13">
      <c r="A13" s="2">
        <v>0.125</v>
      </c>
      <c r="B13" s="2">
        <v>-17.0377098881746</v>
      </c>
      <c r="C13" s="3">
        <f t="shared" si="1"/>
        <v>0.03741211181</v>
      </c>
      <c r="D13" s="2">
        <v>0.125</v>
      </c>
      <c r="E13" s="2">
        <v>-15.6426600237333</v>
      </c>
      <c r="F13" s="3">
        <f t="shared" si="2"/>
        <v>0.07059750877</v>
      </c>
      <c r="G13" s="4">
        <v>0.125</v>
      </c>
      <c r="H13" s="4">
        <v>-3116.86565571873</v>
      </c>
      <c r="I13" s="3">
        <f t="shared" si="3"/>
        <v>0.03495731329</v>
      </c>
    </row>
    <row r="14">
      <c r="A14" s="2">
        <v>0.1875</v>
      </c>
      <c r="B14" s="2">
        <v>-17.0017225460799</v>
      </c>
      <c r="C14" s="3">
        <f t="shared" si="1"/>
        <v>0.0733994539</v>
      </c>
      <c r="D14" s="2">
        <v>0.1875</v>
      </c>
      <c r="E14" s="2">
        <v>-15.5902582127521</v>
      </c>
      <c r="F14" s="3">
        <f t="shared" si="2"/>
        <v>0.1229993197</v>
      </c>
      <c r="G14" s="4">
        <v>0.1875</v>
      </c>
      <c r="H14" s="4">
        <v>-3116.86472225253</v>
      </c>
      <c r="I14" s="3">
        <f t="shared" si="3"/>
        <v>0.06035822237</v>
      </c>
    </row>
    <row r="15">
      <c r="A15" s="2">
        <v>0.25</v>
      </c>
      <c r="B15" s="2">
        <v>-16.9541978420643</v>
      </c>
      <c r="C15" s="3">
        <f t="shared" si="1"/>
        <v>0.1209241579</v>
      </c>
      <c r="D15" s="2">
        <v>0.25</v>
      </c>
      <c r="E15" s="2">
        <v>-15.526444708191</v>
      </c>
      <c r="F15" s="3">
        <f t="shared" si="2"/>
        <v>0.1868128243</v>
      </c>
      <c r="G15" s="4">
        <v>0.25</v>
      </c>
      <c r="H15" s="4">
        <v>-3116.86366108921</v>
      </c>
      <c r="I15" s="3">
        <f t="shared" si="3"/>
        <v>0.08923394709</v>
      </c>
    </row>
    <row r="16">
      <c r="A16" s="2">
        <v>0.3125</v>
      </c>
      <c r="B16" s="2">
        <v>-16.89512410695</v>
      </c>
      <c r="C16" s="3">
        <f t="shared" si="1"/>
        <v>0.179997893</v>
      </c>
      <c r="D16" s="2">
        <v>0.3125</v>
      </c>
      <c r="E16" s="2">
        <v>-15.4512119969766</v>
      </c>
      <c r="F16" s="3">
        <f t="shared" si="2"/>
        <v>0.2620455355</v>
      </c>
      <c r="G16" s="4">
        <v>0.3125</v>
      </c>
      <c r="H16" s="4">
        <v>-3116.86252979017</v>
      </c>
      <c r="I16" s="3">
        <f t="shared" si="3"/>
        <v>0.1200181619</v>
      </c>
    </row>
    <row r="17">
      <c r="A17" s="2">
        <v>0.375</v>
      </c>
      <c r="B17" s="2">
        <v>-16.824490185938</v>
      </c>
      <c r="C17" s="3">
        <f t="shared" si="1"/>
        <v>0.250631814</v>
      </c>
      <c r="D17" s="2">
        <v>0.375</v>
      </c>
      <c r="E17" s="2">
        <v>-15.3645523383131</v>
      </c>
      <c r="F17" s="3">
        <f t="shared" si="2"/>
        <v>0.3487051942</v>
      </c>
      <c r="G17" s="4">
        <v>0.375</v>
      </c>
      <c r="H17" s="4">
        <v>-3116.86139998855</v>
      </c>
      <c r="I17" s="3">
        <f t="shared" si="3"/>
        <v>0.1507616299</v>
      </c>
    </row>
    <row r="18">
      <c r="A18" s="2">
        <v>0.4375</v>
      </c>
      <c r="B18" s="2">
        <v>-16.7422853917397</v>
      </c>
      <c r="C18" s="3">
        <f t="shared" si="1"/>
        <v>0.3328366082</v>
      </c>
      <c r="D18" s="2">
        <v>0.4375</v>
      </c>
      <c r="E18" s="2">
        <v>-15.266457754529</v>
      </c>
      <c r="F18" s="3">
        <f t="shared" si="2"/>
        <v>0.446799778</v>
      </c>
      <c r="G18" s="4">
        <v>0.4375</v>
      </c>
      <c r="H18" s="4">
        <v>-3116.86031194815</v>
      </c>
      <c r="I18" s="3">
        <f t="shared" si="3"/>
        <v>0.1803687172</v>
      </c>
    </row>
    <row r="19">
      <c r="A19" s="2">
        <v>0.5</v>
      </c>
      <c r="B19" s="2">
        <v>-16.6484994570877</v>
      </c>
      <c r="C19" s="3">
        <f t="shared" si="1"/>
        <v>0.4266225429</v>
      </c>
      <c r="D19" s="2">
        <v>0.5</v>
      </c>
      <c r="E19" s="2">
        <v>-15.1569200227145</v>
      </c>
      <c r="F19" s="3">
        <f t="shared" si="2"/>
        <v>0.5563375098</v>
      </c>
      <c r="G19" s="4">
        <v>0.5</v>
      </c>
      <c r="H19" s="4">
        <v>-3116.85929296075</v>
      </c>
      <c r="I19" s="3">
        <f t="shared" si="3"/>
        <v>0.2080967767</v>
      </c>
    </row>
  </sheetData>
  <mergeCells count="3">
    <mergeCell ref="A1:C1"/>
    <mergeCell ref="D1:F1"/>
    <mergeCell ref="G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G1" s="1" t="s">
        <v>7</v>
      </c>
      <c r="J1" s="2"/>
      <c r="K1" s="1" t="s">
        <v>0</v>
      </c>
      <c r="N1" s="1" t="s">
        <v>1</v>
      </c>
      <c r="Q1" s="1" t="s">
        <v>7</v>
      </c>
      <c r="U1" s="1" t="s">
        <v>0</v>
      </c>
      <c r="X1" s="1" t="s">
        <v>1</v>
      </c>
      <c r="AA1" s="1" t="s">
        <v>7</v>
      </c>
    </row>
    <row r="2">
      <c r="A2" s="2" t="s">
        <v>8</v>
      </c>
      <c r="B2" s="2" t="s">
        <v>9</v>
      </c>
      <c r="C2" s="2" t="s">
        <v>5</v>
      </c>
      <c r="D2" s="2" t="s">
        <v>8</v>
      </c>
      <c r="E2" s="2" t="s">
        <v>4</v>
      </c>
      <c r="F2" s="2" t="s">
        <v>10</v>
      </c>
      <c r="G2" s="2" t="s">
        <v>8</v>
      </c>
      <c r="H2" s="2" t="s">
        <v>11</v>
      </c>
      <c r="I2" s="2" t="s">
        <v>5</v>
      </c>
      <c r="J2" s="2"/>
      <c r="K2" s="2" t="s">
        <v>12</v>
      </c>
      <c r="L2" s="2" t="s">
        <v>9</v>
      </c>
      <c r="M2" s="2" t="s">
        <v>5</v>
      </c>
      <c r="N2" s="2" t="s">
        <v>12</v>
      </c>
      <c r="O2" s="2" t="s">
        <v>4</v>
      </c>
      <c r="P2" s="2" t="s">
        <v>10</v>
      </c>
      <c r="Q2" s="2" t="s">
        <v>12</v>
      </c>
      <c r="R2" s="2" t="s">
        <v>11</v>
      </c>
      <c r="S2" s="2" t="s">
        <v>5</v>
      </c>
      <c r="U2" s="2" t="s">
        <v>13</v>
      </c>
      <c r="V2" s="2" t="s">
        <v>9</v>
      </c>
      <c r="W2" s="2" t="s">
        <v>5</v>
      </c>
      <c r="X2" s="2" t="s">
        <v>13</v>
      </c>
      <c r="Y2" s="2" t="s">
        <v>4</v>
      </c>
      <c r="Z2" s="2" t="s">
        <v>10</v>
      </c>
      <c r="AA2" s="2" t="s">
        <v>13</v>
      </c>
      <c r="AB2" s="2" t="s">
        <v>11</v>
      </c>
      <c r="AC2" s="2" t="s">
        <v>5</v>
      </c>
    </row>
    <row r="3">
      <c r="A3" s="2">
        <v>-0.5</v>
      </c>
      <c r="B3" s="2">
        <v>-7.54614721457993</v>
      </c>
      <c r="C3" s="5">
        <f t="shared" ref="C3:C19" si="1">(B:B-$B$11)</f>
        <v>-2.382548517</v>
      </c>
      <c r="D3" s="2">
        <v>-0.5</v>
      </c>
      <c r="E3" s="2">
        <v>-14.7836884375506</v>
      </c>
      <c r="F3" s="5">
        <f t="shared" ref="F3:F19" si="2">(E3-E$11)</f>
        <v>1.338295839</v>
      </c>
      <c r="G3" s="4">
        <v>-0.5</v>
      </c>
      <c r="H3" s="4">
        <v>-3116.71431953015</v>
      </c>
      <c r="I3" s="5">
        <f t="shared" ref="I3:I19" si="3">(H3-H$11)*27.211386</f>
        <v>4.153024751</v>
      </c>
      <c r="J3" s="6"/>
      <c r="K3" s="2">
        <v>-0.5</v>
      </c>
      <c r="L3" s="2">
        <v>-8.64075999724423</v>
      </c>
      <c r="M3" s="5">
        <f t="shared" ref="M3:M19" si="4">(L:L-$L$11)</f>
        <v>-3.4771613</v>
      </c>
      <c r="N3" s="2">
        <v>-0.5</v>
      </c>
      <c r="O3" s="2">
        <v>-14.7947294976221</v>
      </c>
      <c r="P3" s="5">
        <f t="shared" ref="P3:P19" si="5">(O3-O$11)</f>
        <v>1.327254779</v>
      </c>
      <c r="Q3" s="4" t="s">
        <v>14</v>
      </c>
      <c r="R3" s="4">
        <v>-3116.84273849594</v>
      </c>
      <c r="S3" s="5">
        <f t="shared" ref="S3:S19" si="6">(R3-R$11)*27.211386</f>
        <v>0.6585667109</v>
      </c>
      <c r="T3" s="6"/>
      <c r="U3" s="2">
        <v>-0.5</v>
      </c>
      <c r="V3" s="2">
        <v>-11.8970489429756</v>
      </c>
      <c r="W3" s="5">
        <f t="shared" ref="W3:W19" si="7">(V:V-$V$11)</f>
        <v>-6.733450246</v>
      </c>
      <c r="X3" s="2">
        <v>-0.5</v>
      </c>
      <c r="Y3" s="2">
        <v>-15.6506062432946</v>
      </c>
      <c r="Z3" s="5">
        <f t="shared" ref="Z3:Z19" si="8">(Y3-Y$11)</f>
        <v>0.4713780333</v>
      </c>
      <c r="AA3" s="4">
        <v>-0.5</v>
      </c>
      <c r="AB3" s="4">
        <v>-3116.8614766119</v>
      </c>
      <c r="AC3" s="5">
        <f t="shared" ref="AC3:AC19" si="9">(AB3-AB$11)*27.211386</f>
        <v>0.1486766005</v>
      </c>
    </row>
    <row r="4">
      <c r="A4" s="2">
        <v>-0.4375</v>
      </c>
      <c r="B4" s="2">
        <v>-7.44278517434542</v>
      </c>
      <c r="C4" s="5">
        <f t="shared" si="1"/>
        <v>-2.279186477</v>
      </c>
      <c r="D4" s="2">
        <v>-0.4375</v>
      </c>
      <c r="E4" s="2">
        <v>-15.0999647408355</v>
      </c>
      <c r="F4" s="5">
        <f t="shared" si="2"/>
        <v>1.022019536</v>
      </c>
      <c r="G4" s="4">
        <v>-0.4375</v>
      </c>
      <c r="H4" s="4">
        <v>-3116.75524518678</v>
      </c>
      <c r="I4" s="5">
        <f t="shared" si="3"/>
        <v>3.039380911</v>
      </c>
      <c r="J4" s="6"/>
      <c r="K4" s="2">
        <v>-0.4375</v>
      </c>
      <c r="L4" s="2">
        <v>-10.1863108625885</v>
      </c>
      <c r="M4" s="5">
        <f t="shared" si="4"/>
        <v>-5.022712165</v>
      </c>
      <c r="N4" s="2">
        <v>-0.4375</v>
      </c>
      <c r="O4" s="2">
        <v>-15.1137306914412</v>
      </c>
      <c r="P4" s="5">
        <f t="shared" si="5"/>
        <v>1.008253585</v>
      </c>
      <c r="Q4" s="4" t="s">
        <v>15</v>
      </c>
      <c r="R4" s="4">
        <v>-3116.84759396791</v>
      </c>
      <c r="S4" s="5">
        <f t="shared" si="6"/>
        <v>0.5264425889</v>
      </c>
      <c r="T4" s="6"/>
      <c r="U4" s="2">
        <v>-0.4375</v>
      </c>
      <c r="V4" s="2">
        <v>-12.3326767460084</v>
      </c>
      <c r="W4" s="5">
        <f t="shared" si="7"/>
        <v>-7.169078049</v>
      </c>
      <c r="X4" s="2">
        <v>-0.4375</v>
      </c>
      <c r="Y4" s="2">
        <v>-15.7615034883886</v>
      </c>
      <c r="Z4" s="5">
        <f t="shared" si="8"/>
        <v>0.3604807882</v>
      </c>
      <c r="AA4" s="4">
        <v>-0.4375</v>
      </c>
      <c r="AB4" s="4">
        <v>-3116.86239056228</v>
      </c>
      <c r="AC4" s="5">
        <f t="shared" si="9"/>
        <v>0.1238067439</v>
      </c>
    </row>
    <row r="5">
      <c r="A5" s="2">
        <v>-0.375</v>
      </c>
      <c r="B5" s="2">
        <v>-7.27587672712082</v>
      </c>
      <c r="C5" s="5">
        <f t="shared" si="1"/>
        <v>-2.11227803</v>
      </c>
      <c r="D5" s="2">
        <v>-0.375</v>
      </c>
      <c r="E5" s="2">
        <v>-15.3727727821507</v>
      </c>
      <c r="F5" s="5">
        <f t="shared" si="2"/>
        <v>0.7492114944</v>
      </c>
      <c r="G5" s="4">
        <v>-0.375</v>
      </c>
      <c r="H5" s="4">
        <v>-3116.78740276641</v>
      </c>
      <c r="I5" s="5">
        <f t="shared" si="3"/>
        <v>2.164328599</v>
      </c>
      <c r="J5" s="6"/>
      <c r="K5" s="2">
        <v>-0.375</v>
      </c>
      <c r="L5" s="2">
        <v>-11.1797531943614</v>
      </c>
      <c r="M5" s="5">
        <f t="shared" si="4"/>
        <v>-6.016154497</v>
      </c>
      <c r="N5" s="2">
        <v>-0.375</v>
      </c>
      <c r="O5" s="2">
        <v>-15.3861713299235</v>
      </c>
      <c r="P5" s="5">
        <f t="shared" si="5"/>
        <v>0.7358129466</v>
      </c>
      <c r="Q5" s="4" t="s">
        <v>16</v>
      </c>
      <c r="R5" s="4">
        <v>-3116.85190180665</v>
      </c>
      <c r="S5" s="5">
        <f t="shared" si="6"/>
        <v>0.4092203261</v>
      </c>
      <c r="T5" s="6"/>
      <c r="U5" s="2">
        <v>-0.375</v>
      </c>
      <c r="V5" s="2">
        <v>-12.3207482693241</v>
      </c>
      <c r="W5" s="5">
        <f t="shared" si="7"/>
        <v>-7.157149572</v>
      </c>
      <c r="X5" s="2">
        <v>-0.375</v>
      </c>
      <c r="Y5" s="2">
        <v>-15.8571812096746</v>
      </c>
      <c r="Z5" s="5">
        <f t="shared" si="8"/>
        <v>0.2648030669</v>
      </c>
      <c r="AA5" s="4">
        <v>-0.375</v>
      </c>
      <c r="AB5" s="4">
        <v>-3116.86333115908</v>
      </c>
      <c r="AC5" s="5">
        <f t="shared" si="9"/>
        <v>0.0982118013</v>
      </c>
    </row>
    <row r="6">
      <c r="A6" s="2">
        <v>-0.3125</v>
      </c>
      <c r="B6" s="2">
        <v>-7.05050013545606</v>
      </c>
      <c r="C6" s="5">
        <f t="shared" si="1"/>
        <v>-1.886901438</v>
      </c>
      <c r="D6" s="2">
        <v>-0.3125</v>
      </c>
      <c r="E6" s="2">
        <v>-15.6025085309413</v>
      </c>
      <c r="F6" s="5">
        <f t="shared" si="2"/>
        <v>0.5194757456</v>
      </c>
      <c r="G6" s="4">
        <v>-0.3125</v>
      </c>
      <c r="H6" s="4">
        <v>-3116.81238338804</v>
      </c>
      <c r="I6" s="5">
        <f t="shared" si="3"/>
        <v>1.484571261</v>
      </c>
      <c r="J6" s="6"/>
      <c r="K6" s="2">
        <v>-0.3125</v>
      </c>
      <c r="L6" s="2">
        <v>-11.6050711136591</v>
      </c>
      <c r="M6" s="5">
        <f t="shared" si="4"/>
        <v>-6.441472416</v>
      </c>
      <c r="N6" s="2">
        <v>-0.3125</v>
      </c>
      <c r="O6" s="2">
        <v>-15.6130049402921</v>
      </c>
      <c r="P6" s="5">
        <f t="shared" si="5"/>
        <v>0.5089793363</v>
      </c>
      <c r="Q6" s="4" t="s">
        <v>17</v>
      </c>
      <c r="R6" s="4">
        <v>-3116.85570398918</v>
      </c>
      <c r="S6" s="5">
        <f t="shared" si="6"/>
        <v>0.3057576696</v>
      </c>
      <c r="T6" s="6"/>
      <c r="U6" s="2">
        <v>-0.3125</v>
      </c>
      <c r="V6" s="2">
        <v>-11.871501165791</v>
      </c>
      <c r="W6" s="5">
        <f t="shared" si="7"/>
        <v>-6.707902468</v>
      </c>
      <c r="X6" s="2">
        <v>-0.3125</v>
      </c>
      <c r="Y6" s="2">
        <v>-15.9378518475365</v>
      </c>
      <c r="Z6" s="5">
        <f t="shared" si="8"/>
        <v>0.184132429</v>
      </c>
      <c r="AA6" s="4">
        <v>-0.3125</v>
      </c>
      <c r="AB6" s="4">
        <v>-3116.86425802949</v>
      </c>
      <c r="AC6" s="5">
        <f t="shared" si="9"/>
        <v>0.0729903728</v>
      </c>
    </row>
    <row r="7">
      <c r="A7" s="2">
        <v>-0.25</v>
      </c>
      <c r="B7" s="2">
        <v>-6.77073572780356</v>
      </c>
      <c r="C7" s="5">
        <f t="shared" si="1"/>
        <v>-1.60713703</v>
      </c>
      <c r="D7" s="2">
        <v>-0.25</v>
      </c>
      <c r="E7" s="2">
        <v>-15.789647580363</v>
      </c>
      <c r="F7" s="5">
        <f t="shared" si="2"/>
        <v>0.3323366962</v>
      </c>
      <c r="G7" s="4">
        <v>-0.25</v>
      </c>
      <c r="H7" s="4">
        <v>-3116.83154464014</v>
      </c>
      <c r="I7" s="5">
        <f t="shared" si="3"/>
        <v>0.963167034</v>
      </c>
      <c r="J7" s="6"/>
      <c r="K7" s="2">
        <v>-0.25</v>
      </c>
      <c r="L7" s="2">
        <v>-11.4510395557023</v>
      </c>
      <c r="M7" s="5">
        <f t="shared" si="4"/>
        <v>-6.287440858</v>
      </c>
      <c r="N7" s="2">
        <v>-0.25</v>
      </c>
      <c r="O7" s="2">
        <v>-15.7957707244394</v>
      </c>
      <c r="P7" s="5">
        <f t="shared" si="5"/>
        <v>0.3262135521</v>
      </c>
      <c r="Q7" s="4" t="s">
        <v>18</v>
      </c>
      <c r="R7" s="4">
        <v>-3116.85899599041</v>
      </c>
      <c r="S7" s="5">
        <f t="shared" si="6"/>
        <v>0.2161777534</v>
      </c>
      <c r="T7" s="6"/>
      <c r="U7" s="2">
        <v>-0.25</v>
      </c>
      <c r="V7" s="2">
        <v>-11.0102763418792</v>
      </c>
      <c r="W7" s="5">
        <f t="shared" si="7"/>
        <v>-5.846677644</v>
      </c>
      <c r="X7" s="2">
        <v>-0.25</v>
      </c>
      <c r="Y7" s="2">
        <v>-16.0036655636893</v>
      </c>
      <c r="Z7" s="5">
        <f t="shared" si="8"/>
        <v>0.1183187129</v>
      </c>
      <c r="AA7" s="4">
        <v>-0.25</v>
      </c>
      <c r="AB7" s="4">
        <v>-3116.86509341852</v>
      </c>
      <c r="AC7" s="5">
        <f t="shared" si="9"/>
        <v>0.05025827945</v>
      </c>
    </row>
    <row r="8">
      <c r="A8" s="2">
        <v>-0.1875</v>
      </c>
      <c r="B8" s="2">
        <v>-6.43985406924368</v>
      </c>
      <c r="C8" s="5">
        <f t="shared" si="1"/>
        <v>-1.276255372</v>
      </c>
      <c r="D8" s="2">
        <v>-0.1875</v>
      </c>
      <c r="E8" s="2">
        <v>-15.9347012820191</v>
      </c>
      <c r="F8" s="5">
        <f t="shared" si="2"/>
        <v>0.1872829946</v>
      </c>
      <c r="G8" s="4">
        <v>-0.1875</v>
      </c>
      <c r="H8" s="4">
        <v>-3116.84589944137</v>
      </c>
      <c r="I8" s="5">
        <f t="shared" si="3"/>
        <v>0.5725529967</v>
      </c>
      <c r="J8" s="6"/>
      <c r="K8" s="2">
        <v>-0.1875</v>
      </c>
      <c r="L8" s="2">
        <v>-10.7140392173395</v>
      </c>
      <c r="M8" s="5">
        <f t="shared" si="4"/>
        <v>-5.55044052</v>
      </c>
      <c r="N8" s="2">
        <v>-0.1875</v>
      </c>
      <c r="O8" s="2">
        <v>-15.9372440717347</v>
      </c>
      <c r="P8" s="5">
        <f t="shared" si="5"/>
        <v>0.1847402048</v>
      </c>
      <c r="Q8" s="4" t="s">
        <v>19</v>
      </c>
      <c r="R8" s="4">
        <v>-3116.86177340578</v>
      </c>
      <c r="S8" s="5">
        <f t="shared" si="6"/>
        <v>0.1406004317</v>
      </c>
      <c r="T8" s="6"/>
      <c r="U8" s="2">
        <v>-0.1875</v>
      </c>
      <c r="V8" s="2">
        <v>-9.78658181872533</v>
      </c>
      <c r="W8" s="5">
        <f t="shared" si="7"/>
        <v>-4.622983121</v>
      </c>
      <c r="X8" s="2">
        <v>-0.1875</v>
      </c>
      <c r="Y8" s="2">
        <v>-16.0548255059502</v>
      </c>
      <c r="Z8" s="5">
        <f t="shared" si="8"/>
        <v>0.06715877062</v>
      </c>
      <c r="AA8" s="4">
        <v>-0.1875</v>
      </c>
      <c r="AB8" s="4">
        <v>-3116.86581031978</v>
      </c>
      <c r="AC8" s="5">
        <f t="shared" si="9"/>
        <v>0.03075040254</v>
      </c>
    </row>
    <row r="9">
      <c r="A9" s="2">
        <v>-0.125</v>
      </c>
      <c r="B9" s="2">
        <v>-6.06044102406253</v>
      </c>
      <c r="C9" s="5">
        <f t="shared" si="1"/>
        <v>-0.8968423266</v>
      </c>
      <c r="D9" s="2">
        <v>-0.125</v>
      </c>
      <c r="E9" s="2">
        <v>-16.0381601971336</v>
      </c>
      <c r="F9" s="5">
        <f t="shared" si="2"/>
        <v>0.08382407944</v>
      </c>
      <c r="G9" s="4">
        <v>-0.125</v>
      </c>
      <c r="H9" s="4">
        <v>-3116.85622648204</v>
      </c>
      <c r="I9" s="5">
        <f t="shared" si="3"/>
        <v>0.2915399068</v>
      </c>
      <c r="J9" s="6"/>
      <c r="K9" s="2">
        <v>-0.125</v>
      </c>
      <c r="L9" s="2">
        <v>-9.40033949303631</v>
      </c>
      <c r="M9" s="5">
        <f t="shared" si="4"/>
        <v>-4.236740796</v>
      </c>
      <c r="N9" s="2">
        <v>-0.125</v>
      </c>
      <c r="O9" s="2">
        <v>-16.0397427062265</v>
      </c>
      <c r="P9" s="5">
        <f t="shared" si="5"/>
        <v>0.08224157035</v>
      </c>
      <c r="Q9" s="4" t="s">
        <v>20</v>
      </c>
      <c r="R9" s="4">
        <v>-3116.86402058737</v>
      </c>
      <c r="S9" s="5">
        <f t="shared" si="6"/>
        <v>0.07945150607</v>
      </c>
      <c r="T9" s="6"/>
      <c r="U9" s="2">
        <v>-0.125</v>
      </c>
      <c r="V9" s="2">
        <v>-8.28905739152596</v>
      </c>
      <c r="W9" s="5">
        <f t="shared" si="7"/>
        <v>-3.125458694</v>
      </c>
      <c r="X9" s="2">
        <v>-0.125</v>
      </c>
      <c r="Y9" s="2">
        <v>-16.0916418227164</v>
      </c>
      <c r="Z9" s="5">
        <f t="shared" si="8"/>
        <v>0.03034245386</v>
      </c>
      <c r="AA9" s="4">
        <v>-0.125</v>
      </c>
      <c r="AB9" s="4">
        <v>-3116.86637754932</v>
      </c>
      <c r="AC9" s="5">
        <f t="shared" si="9"/>
        <v>0.01531530057</v>
      </c>
    </row>
    <row r="10">
      <c r="A10" s="2">
        <v>-0.0625</v>
      </c>
      <c r="B10" s="2">
        <v>-5.63450949259928</v>
      </c>
      <c r="C10" s="5">
        <f t="shared" si="1"/>
        <v>-0.4709107951</v>
      </c>
      <c r="D10" s="2">
        <v>-0.0625</v>
      </c>
      <c r="E10" s="2">
        <v>-16.1004631714581</v>
      </c>
      <c r="F10" s="5">
        <f t="shared" si="2"/>
        <v>0.02152110511</v>
      </c>
      <c r="G10" s="4">
        <v>-0.0625</v>
      </c>
      <c r="H10" s="4">
        <v>-3116.86309337761</v>
      </c>
      <c r="I10" s="5">
        <f t="shared" si="3"/>
        <v>0.1046821609</v>
      </c>
      <c r="J10" s="6"/>
      <c r="K10" s="2">
        <v>-0.0625</v>
      </c>
      <c r="L10" s="2">
        <v>-7.53102666592927</v>
      </c>
      <c r="M10" s="5">
        <f t="shared" si="4"/>
        <v>-2.367427968</v>
      </c>
      <c r="N10" s="2">
        <v>-0.0625</v>
      </c>
      <c r="O10" s="2">
        <v>-16.1019382055565</v>
      </c>
      <c r="P10" s="5">
        <f t="shared" si="5"/>
        <v>0.02004607102</v>
      </c>
      <c r="Q10" s="4" t="s">
        <v>21</v>
      </c>
      <c r="R10" s="4">
        <v>-3116.86573022116</v>
      </c>
      <c r="S10" s="5">
        <f t="shared" si="6"/>
        <v>0.03293000109</v>
      </c>
      <c r="T10" s="6"/>
      <c r="U10" s="2">
        <v>-0.0625</v>
      </c>
      <c r="V10" s="2">
        <v>-6.6683284799167</v>
      </c>
      <c r="W10" s="5">
        <f t="shared" si="7"/>
        <v>-1.504729782</v>
      </c>
      <c r="X10" s="2">
        <v>-0.0625</v>
      </c>
      <c r="Y10" s="2">
        <v>-16.1142383218064</v>
      </c>
      <c r="Z10" s="5">
        <f t="shared" si="8"/>
        <v>0.007745954766</v>
      </c>
      <c r="AA10" s="4">
        <v>-0.0625</v>
      </c>
      <c r="AB10" s="4">
        <v>-3116.86675766708</v>
      </c>
      <c r="AC10" s="5">
        <f t="shared" si="9"/>
        <v>0.00497176948</v>
      </c>
    </row>
    <row r="11">
      <c r="A11" s="2">
        <v>0.0</v>
      </c>
      <c r="B11" s="2">
        <v>-5.16359869745798</v>
      </c>
      <c r="C11" s="5">
        <f t="shared" si="1"/>
        <v>0</v>
      </c>
      <c r="D11" s="2">
        <v>0.0</v>
      </c>
      <c r="E11" s="2">
        <v>-16.121984276572</v>
      </c>
      <c r="F11" s="5">
        <f t="shared" si="2"/>
        <v>0</v>
      </c>
      <c r="G11" s="4">
        <v>0.0</v>
      </c>
      <c r="H11" s="4">
        <v>-3116.8669403761</v>
      </c>
      <c r="I11" s="5">
        <f t="shared" si="3"/>
        <v>0</v>
      </c>
      <c r="J11" s="6"/>
      <c r="K11" s="2">
        <v>0.0</v>
      </c>
      <c r="L11" s="2">
        <v>-5.16359869745798</v>
      </c>
      <c r="M11" s="5">
        <f t="shared" si="4"/>
        <v>0</v>
      </c>
      <c r="N11" s="2">
        <v>0.0</v>
      </c>
      <c r="O11" s="2">
        <v>-16.121984276572</v>
      </c>
      <c r="P11" s="5">
        <f t="shared" si="5"/>
        <v>0</v>
      </c>
      <c r="Q11" s="4" t="s">
        <v>22</v>
      </c>
      <c r="R11" s="4">
        <v>-3116.86694037639</v>
      </c>
      <c r="S11" s="5">
        <f t="shared" si="6"/>
        <v>0</v>
      </c>
      <c r="T11" s="6"/>
      <c r="U11" s="2">
        <v>0.0</v>
      </c>
      <c r="V11" s="2">
        <v>-5.16359869745798</v>
      </c>
      <c r="W11" s="5">
        <f t="shared" si="7"/>
        <v>0</v>
      </c>
      <c r="X11" s="2">
        <v>0.0</v>
      </c>
      <c r="Y11" s="2">
        <v>-16.121984276572</v>
      </c>
      <c r="Z11" s="5">
        <f t="shared" si="8"/>
        <v>0</v>
      </c>
      <c r="AA11" s="4">
        <v>0.0</v>
      </c>
      <c r="AB11" s="4">
        <v>-3116.86694037624</v>
      </c>
      <c r="AC11" s="5">
        <f t="shared" si="9"/>
        <v>0</v>
      </c>
    </row>
    <row r="12">
      <c r="A12" s="2">
        <v>0.0625</v>
      </c>
      <c r="B12" s="2">
        <v>-4.64885844121858</v>
      </c>
      <c r="C12" s="5">
        <f t="shared" si="1"/>
        <v>0.5147402562</v>
      </c>
      <c r="D12" s="2">
        <v>0.0625</v>
      </c>
      <c r="E12" s="2">
        <v>-16.1030286491743</v>
      </c>
      <c r="F12" s="5">
        <f t="shared" si="2"/>
        <v>0.0189556274</v>
      </c>
      <c r="G12" s="4">
        <v>0.0625</v>
      </c>
      <c r="H12" s="4">
        <v>-3116.86802845563</v>
      </c>
      <c r="I12" s="5">
        <f t="shared" si="3"/>
        <v>-0.02960815209</v>
      </c>
      <c r="J12" s="6"/>
      <c r="K12" s="2">
        <v>0.0625</v>
      </c>
      <c r="L12" s="2">
        <v>-2.44040478313638</v>
      </c>
      <c r="M12" s="5">
        <f t="shared" si="4"/>
        <v>2.723193914</v>
      </c>
      <c r="N12" s="2">
        <v>0.0625</v>
      </c>
      <c r="O12" s="2">
        <v>-16.0993671275759</v>
      </c>
      <c r="P12" s="5">
        <f t="shared" si="5"/>
        <v>0.022617149</v>
      </c>
      <c r="Q12" s="4" t="s">
        <v>23</v>
      </c>
      <c r="R12" s="4">
        <v>-3116.8676440498</v>
      </c>
      <c r="S12" s="5">
        <f t="shared" si="6"/>
        <v>-0.01914792878</v>
      </c>
      <c r="T12" s="6"/>
      <c r="U12" s="2">
        <v>0.0625</v>
      </c>
      <c r="V12" s="2">
        <v>-4.1025582724849</v>
      </c>
      <c r="W12" s="5">
        <f t="shared" si="7"/>
        <v>1.061040425</v>
      </c>
      <c r="X12" s="2">
        <v>0.0625</v>
      </c>
      <c r="Y12" s="2">
        <v>-16.1135325606917</v>
      </c>
      <c r="Z12" s="5">
        <f t="shared" si="8"/>
        <v>0.00845171588</v>
      </c>
      <c r="AA12" s="4">
        <v>0.0625</v>
      </c>
      <c r="AB12" s="4">
        <v>-3116.86696968146</v>
      </c>
      <c r="AC12" s="5">
        <f t="shared" si="9"/>
        <v>-0.0007974356497</v>
      </c>
    </row>
    <row r="13">
      <c r="A13" s="2">
        <v>0.125</v>
      </c>
      <c r="B13" s="2">
        <v>-4.0911177047818</v>
      </c>
      <c r="C13" s="5">
        <f t="shared" si="1"/>
        <v>1.072480993</v>
      </c>
      <c r="D13" s="2">
        <v>0.125</v>
      </c>
      <c r="E13" s="2">
        <v>-16.0438320423711</v>
      </c>
      <c r="F13" s="5">
        <f t="shared" si="2"/>
        <v>0.0781522342</v>
      </c>
      <c r="G13" s="4">
        <v>0.125</v>
      </c>
      <c r="H13" s="4">
        <v>-3116.86638315394</v>
      </c>
      <c r="I13" s="5">
        <f t="shared" si="3"/>
        <v>0.01516278728</v>
      </c>
      <c r="J13" s="6"/>
      <c r="K13" s="2">
        <v>0.125</v>
      </c>
      <c r="L13" s="2">
        <v>0.288721347392339</v>
      </c>
      <c r="M13" s="5">
        <f t="shared" si="4"/>
        <v>5.452320045</v>
      </c>
      <c r="N13" s="2">
        <v>0.125</v>
      </c>
      <c r="O13" s="2">
        <v>-16.0343115198737</v>
      </c>
      <c r="P13" s="5">
        <f t="shared" si="5"/>
        <v>0.0876727567</v>
      </c>
      <c r="Q13" s="4" t="s">
        <v>24</v>
      </c>
      <c r="R13" s="4">
        <v>-3116.86783063315</v>
      </c>
      <c r="S13" s="5">
        <f t="shared" si="6"/>
        <v>-0.02422512033</v>
      </c>
      <c r="T13" s="6"/>
      <c r="U13" s="2">
        <v>0.125</v>
      </c>
      <c r="V13" s="2">
        <v>-3.8009490451967</v>
      </c>
      <c r="W13" s="5">
        <f t="shared" si="7"/>
        <v>1.362649652</v>
      </c>
      <c r="X13" s="2">
        <v>0.125</v>
      </c>
      <c r="Y13" s="2">
        <v>-16.0874926289644</v>
      </c>
      <c r="Z13" s="5">
        <f t="shared" si="8"/>
        <v>0.03449164761</v>
      </c>
      <c r="AA13" s="4">
        <v>0.125</v>
      </c>
      <c r="AB13" s="4">
        <v>-3116.86691307599</v>
      </c>
      <c r="AC13" s="5">
        <f t="shared" si="9"/>
        <v>0.0007428776452</v>
      </c>
    </row>
    <row r="14">
      <c r="A14" s="2">
        <v>0.1875</v>
      </c>
      <c r="B14" s="2">
        <v>-3.4909376910124</v>
      </c>
      <c r="C14" s="5">
        <f t="shared" si="1"/>
        <v>1.672661006</v>
      </c>
      <c r="D14" s="2">
        <v>0.1875</v>
      </c>
      <c r="E14" s="2">
        <v>-15.9445612294599</v>
      </c>
      <c r="F14" s="5">
        <f t="shared" si="2"/>
        <v>0.1774230471</v>
      </c>
      <c r="G14" s="4">
        <v>0.1875</v>
      </c>
      <c r="H14" s="4">
        <v>-3116.86189034042</v>
      </c>
      <c r="I14" s="5">
        <f t="shared" si="3"/>
        <v>0.1374184702</v>
      </c>
      <c r="J14" s="6"/>
      <c r="K14" s="2">
        <v>0.1875</v>
      </c>
      <c r="L14" s="2">
        <v>2.22056467501774</v>
      </c>
      <c r="M14" s="5">
        <f t="shared" si="4"/>
        <v>7.384163372</v>
      </c>
      <c r="N14" s="2">
        <v>0.1875</v>
      </c>
      <c r="O14" s="2">
        <v>-15.927386066795</v>
      </c>
      <c r="P14" s="5">
        <f t="shared" si="5"/>
        <v>0.1945982098</v>
      </c>
      <c r="Q14" s="4" t="s">
        <v>25</v>
      </c>
      <c r="R14" s="4">
        <v>-3116.86757635133</v>
      </c>
      <c r="S14" s="5">
        <f t="shared" si="6"/>
        <v>-0.01730575958</v>
      </c>
      <c r="T14" s="6"/>
      <c r="U14" s="2">
        <v>0.1875</v>
      </c>
      <c r="V14" s="2">
        <v>-4.35646537396872</v>
      </c>
      <c r="W14" s="5">
        <f t="shared" si="7"/>
        <v>0.8071333235</v>
      </c>
      <c r="X14" s="2">
        <v>0.1875</v>
      </c>
      <c r="Y14" s="2">
        <v>-16.0428366023818</v>
      </c>
      <c r="Z14" s="5">
        <f t="shared" si="8"/>
        <v>0.07914767419</v>
      </c>
      <c r="AA14" s="4">
        <v>0.1875</v>
      </c>
      <c r="AB14" s="4">
        <v>-3116.86675791642</v>
      </c>
      <c r="AC14" s="5">
        <f t="shared" si="9"/>
        <v>0.004964984599</v>
      </c>
    </row>
    <row r="15">
      <c r="A15" s="2">
        <v>0.25</v>
      </c>
      <c r="B15" s="2">
        <v>-2.84864899812023</v>
      </c>
      <c r="C15" s="5">
        <f t="shared" si="1"/>
        <v>2.314949699</v>
      </c>
      <c r="D15" s="2">
        <v>0.25</v>
      </c>
      <c r="E15" s="2">
        <v>-15.8053134650399</v>
      </c>
      <c r="F15" s="5">
        <f t="shared" si="2"/>
        <v>0.3166708115</v>
      </c>
      <c r="G15" s="4">
        <v>0.25</v>
      </c>
      <c r="H15" s="4">
        <v>-3116.85431190988</v>
      </c>
      <c r="I15" s="5">
        <f t="shared" si="3"/>
        <v>0.3436380689</v>
      </c>
      <c r="J15" s="6"/>
      <c r="K15" s="2">
        <v>0.25</v>
      </c>
      <c r="L15" s="2">
        <v>2.29359000929593</v>
      </c>
      <c r="M15" s="5">
        <f t="shared" si="4"/>
        <v>7.457188707</v>
      </c>
      <c r="N15" s="2">
        <v>0.25</v>
      </c>
      <c r="O15" s="2">
        <v>-15.779373311923</v>
      </c>
      <c r="P15" s="5">
        <f t="shared" si="5"/>
        <v>0.3426109646</v>
      </c>
      <c r="Q15" s="4" t="s">
        <v>26</v>
      </c>
      <c r="R15" s="4">
        <v>-3116.86694091338</v>
      </c>
      <c r="S15" s="5">
        <f t="shared" si="6"/>
        <v>-0.00001461223601</v>
      </c>
      <c r="T15" s="6"/>
      <c r="U15" s="2">
        <v>0.25</v>
      </c>
      <c r="V15" s="2">
        <v>-5.56353744197155</v>
      </c>
      <c r="W15" s="5">
        <f t="shared" si="7"/>
        <v>-0.3999387445</v>
      </c>
      <c r="X15" s="2">
        <v>0.25</v>
      </c>
      <c r="Y15" s="2">
        <v>-15.9789163207456</v>
      </c>
      <c r="Z15" s="5">
        <f t="shared" si="8"/>
        <v>0.1430679558</v>
      </c>
      <c r="AA15" s="4">
        <v>0.25</v>
      </c>
      <c r="AB15" s="4">
        <v>-3116.86649643981</v>
      </c>
      <c r="AC15" s="5">
        <f t="shared" si="9"/>
        <v>0.01208012556</v>
      </c>
    </row>
    <row r="16">
      <c r="A16" s="2">
        <v>0.3125</v>
      </c>
      <c r="B16" s="2">
        <v>-2.16437147736938</v>
      </c>
      <c r="C16" s="5">
        <f t="shared" si="1"/>
        <v>2.99922722</v>
      </c>
      <c r="D16" s="2">
        <v>0.3125</v>
      </c>
      <c r="E16" s="2">
        <v>-15.626113571581</v>
      </c>
      <c r="F16" s="5">
        <f t="shared" si="2"/>
        <v>0.495870705</v>
      </c>
      <c r="G16" s="4">
        <v>0.3125</v>
      </c>
      <c r="H16" s="4">
        <v>-3116.84325858642</v>
      </c>
      <c r="I16" s="5">
        <f t="shared" si="3"/>
        <v>0.6444143202</v>
      </c>
      <c r="J16" s="6"/>
      <c r="K16" s="2">
        <v>0.3125</v>
      </c>
      <c r="L16" s="2">
        <v>0.650517430462058</v>
      </c>
      <c r="M16" s="5">
        <f t="shared" si="4"/>
        <v>5.814116128</v>
      </c>
      <c r="N16" s="2">
        <v>0.3125</v>
      </c>
      <c r="O16" s="2">
        <v>-15.5912358404527</v>
      </c>
      <c r="P16" s="5">
        <f t="shared" si="5"/>
        <v>0.5307484361</v>
      </c>
      <c r="Q16" s="4" t="s">
        <v>27</v>
      </c>
      <c r="R16" s="4">
        <v>-3116.86594703103</v>
      </c>
      <c r="S16" s="5">
        <f t="shared" si="6"/>
        <v>0.02703030403</v>
      </c>
      <c r="T16" s="6"/>
      <c r="U16" s="2">
        <v>0.3125</v>
      </c>
      <c r="V16" s="2">
        <v>-7.0758247991162</v>
      </c>
      <c r="W16" s="5">
        <f t="shared" si="7"/>
        <v>-1.912226102</v>
      </c>
      <c r="X16" s="2">
        <v>0.3125</v>
      </c>
      <c r="Y16" s="2">
        <v>-15.8953694314454</v>
      </c>
      <c r="Z16" s="5">
        <f t="shared" si="8"/>
        <v>0.2266148451</v>
      </c>
      <c r="AA16" s="4">
        <v>0.3125</v>
      </c>
      <c r="AB16" s="4">
        <v>-3116.86616757226</v>
      </c>
      <c r="AC16" s="5">
        <f t="shared" si="9"/>
        <v>0.0210290674</v>
      </c>
    </row>
    <row r="17">
      <c r="A17" s="2">
        <v>0.375</v>
      </c>
      <c r="B17" s="2">
        <v>-1.43801371304495</v>
      </c>
      <c r="C17" s="5">
        <f t="shared" si="1"/>
        <v>3.725584984</v>
      </c>
      <c r="D17" s="2">
        <v>0.375</v>
      </c>
      <c r="E17" s="2">
        <v>-15.4069071866487</v>
      </c>
      <c r="F17" s="5">
        <f t="shared" si="2"/>
        <v>0.7150770899</v>
      </c>
      <c r="G17" s="4">
        <v>0.375</v>
      </c>
      <c r="H17" s="4">
        <v>-3116.82816160902</v>
      </c>
      <c r="I17" s="5">
        <f t="shared" si="3"/>
        <v>1.055224</v>
      </c>
      <c r="J17" s="6"/>
      <c r="K17" s="2">
        <v>0.375</v>
      </c>
      <c r="L17" s="2">
        <v>-1.61293457162909</v>
      </c>
      <c r="M17" s="5">
        <f t="shared" si="4"/>
        <v>3.550664126</v>
      </c>
      <c r="N17" s="2">
        <v>0.375</v>
      </c>
      <c r="O17" s="2">
        <v>-15.3641179034035</v>
      </c>
      <c r="P17" s="5">
        <f t="shared" si="5"/>
        <v>0.7578663732</v>
      </c>
      <c r="Q17" s="4">
        <v>0.375</v>
      </c>
      <c r="R17" s="4">
        <v>-3116.86465906913</v>
      </c>
      <c r="S17" s="5">
        <f t="shared" si="6"/>
        <v>0.06207753244</v>
      </c>
      <c r="T17" s="6"/>
      <c r="U17" s="2">
        <v>0.375</v>
      </c>
      <c r="V17" s="2">
        <v>-8.58683647447004</v>
      </c>
      <c r="W17" s="5">
        <f t="shared" si="7"/>
        <v>-3.423237777</v>
      </c>
      <c r="X17" s="2">
        <v>0.375</v>
      </c>
      <c r="Y17" s="2">
        <v>-15.7920352394352</v>
      </c>
      <c r="Z17" s="5">
        <f t="shared" si="8"/>
        <v>0.3299490371</v>
      </c>
      <c r="AA17" s="4">
        <v>0.375</v>
      </c>
      <c r="AB17" s="4">
        <v>-3116.86580645457</v>
      </c>
      <c r="AC17" s="5">
        <f t="shared" si="9"/>
        <v>0.03085558026</v>
      </c>
    </row>
    <row r="18">
      <c r="A18" s="2">
        <v>0.4375</v>
      </c>
      <c r="B18" s="2">
        <v>-0.66924708928382</v>
      </c>
      <c r="C18" s="5">
        <f t="shared" si="1"/>
        <v>4.494351608</v>
      </c>
      <c r="D18" s="2">
        <v>0.4375</v>
      </c>
      <c r="E18" s="2">
        <v>-15.1475484292065</v>
      </c>
      <c r="F18" s="5">
        <f t="shared" si="2"/>
        <v>0.9744358474</v>
      </c>
      <c r="G18" s="4">
        <v>0.4375</v>
      </c>
      <c r="H18" s="4">
        <v>-3116.80824177416</v>
      </c>
      <c r="I18" s="5">
        <f t="shared" si="3"/>
        <v>1.597270315</v>
      </c>
      <c r="J18" s="6"/>
      <c r="K18" s="2">
        <v>0.4375</v>
      </c>
      <c r="L18" s="2">
        <v>-3.79120858467783</v>
      </c>
      <c r="M18" s="5">
        <f t="shared" si="4"/>
        <v>1.372390113</v>
      </c>
      <c r="N18" s="2">
        <v>0.4375</v>
      </c>
      <c r="O18" s="2">
        <v>-15.0993638008521</v>
      </c>
      <c r="P18" s="5">
        <f t="shared" si="5"/>
        <v>1.022620476</v>
      </c>
      <c r="Q18" s="4">
        <v>0.4375</v>
      </c>
      <c r="R18" s="4">
        <v>-3116.86320962134</v>
      </c>
      <c r="S18" s="5">
        <f t="shared" si="6"/>
        <v>0.1015190157</v>
      </c>
      <c r="T18" s="6"/>
      <c r="U18" s="2">
        <v>0.4375</v>
      </c>
      <c r="V18" s="2">
        <v>-9.88486207411113</v>
      </c>
      <c r="W18" s="5">
        <f t="shared" si="7"/>
        <v>-4.721263377</v>
      </c>
      <c r="X18" s="2">
        <v>0.4375</v>
      </c>
      <c r="Y18" s="2">
        <v>-15.6688941643343</v>
      </c>
      <c r="Z18" s="5">
        <f t="shared" si="8"/>
        <v>0.4530901122</v>
      </c>
      <c r="AA18" s="4">
        <v>0.4375</v>
      </c>
      <c r="AB18" s="4">
        <v>-3116.86541352685</v>
      </c>
      <c r="AC18" s="5">
        <f t="shared" si="9"/>
        <v>0.04154768812</v>
      </c>
    </row>
    <row r="19">
      <c r="A19" s="2">
        <v>0.5</v>
      </c>
      <c r="B19" s="2">
        <v>0.14255272482788</v>
      </c>
      <c r="C19" s="5">
        <f t="shared" si="1"/>
        <v>5.306151422</v>
      </c>
      <c r="D19" s="2">
        <v>0.5</v>
      </c>
      <c r="E19" s="2">
        <v>-14.8477798331195</v>
      </c>
      <c r="F19" s="5">
        <f t="shared" si="2"/>
        <v>1.274204443</v>
      </c>
      <c r="G19" s="4">
        <v>0.5</v>
      </c>
      <c r="H19" s="4">
        <v>-3116.78255547644</v>
      </c>
      <c r="I19" s="5">
        <f t="shared" si="3"/>
        <v>2.296230077</v>
      </c>
      <c r="J19" s="6"/>
      <c r="K19" s="2">
        <v>0.5</v>
      </c>
      <c r="L19" s="2">
        <v>-5.58616365060087</v>
      </c>
      <c r="M19" s="5">
        <f t="shared" si="4"/>
        <v>-0.4225649531</v>
      </c>
      <c r="N19" s="2">
        <v>0.5</v>
      </c>
      <c r="O19" s="2">
        <v>-14.7985461070163</v>
      </c>
      <c r="P19" s="5">
        <f t="shared" si="5"/>
        <v>1.32343817</v>
      </c>
      <c r="Q19" s="4">
        <v>0.5</v>
      </c>
      <c r="R19" s="4">
        <v>-3116.86160368089</v>
      </c>
      <c r="S19" s="5">
        <f t="shared" si="6"/>
        <v>0.1452188812</v>
      </c>
      <c r="T19" s="6"/>
      <c r="U19" s="2">
        <v>0.5</v>
      </c>
      <c r="V19" s="2">
        <v>-10.837419105296</v>
      </c>
      <c r="W19" s="5">
        <f t="shared" si="7"/>
        <v>-5.673820408</v>
      </c>
      <c r="X19" s="2">
        <v>0.5</v>
      </c>
      <c r="Y19" s="2">
        <v>-15.5260234115165</v>
      </c>
      <c r="Z19" s="5">
        <f t="shared" si="8"/>
        <v>0.5959608651</v>
      </c>
      <c r="AA19" s="4">
        <v>0.5</v>
      </c>
      <c r="AB19" s="4">
        <v>-3116.86499312775</v>
      </c>
      <c r="AC19" s="5">
        <f t="shared" si="9"/>
        <v>0.0529873303</v>
      </c>
    </row>
    <row r="42">
      <c r="C42" s="7"/>
    </row>
    <row r="44">
      <c r="A44" s="1"/>
      <c r="D44" s="1"/>
      <c r="G44" s="1"/>
      <c r="L44" s="1"/>
      <c r="O44" s="1"/>
      <c r="R44" s="1"/>
    </row>
    <row r="67">
      <c r="O67" s="1"/>
      <c r="R67" s="1"/>
    </row>
    <row r="78">
      <c r="O78" s="8"/>
    </row>
    <row r="84">
      <c r="Q84" s="7"/>
    </row>
  </sheetData>
  <mergeCells count="17">
    <mergeCell ref="X1:Z1"/>
    <mergeCell ref="AA1:AC1"/>
    <mergeCell ref="A44:C44"/>
    <mergeCell ref="D44:F44"/>
    <mergeCell ref="G44:I44"/>
    <mergeCell ref="L44:N44"/>
    <mergeCell ref="O44:Q44"/>
    <mergeCell ref="R44:S44"/>
    <mergeCell ref="O67:Q67"/>
    <mergeCell ref="R67:S67"/>
    <mergeCell ref="A1:C1"/>
    <mergeCell ref="D1:F1"/>
    <mergeCell ref="G1:I1"/>
    <mergeCell ref="K1:M1"/>
    <mergeCell ref="N1:P1"/>
    <mergeCell ref="Q1:S1"/>
    <mergeCell ref="U1:W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D1" s="1" t="s">
        <v>29</v>
      </c>
      <c r="G1" s="1" t="s">
        <v>2</v>
      </c>
      <c r="J1" s="1"/>
      <c r="K1" s="1"/>
      <c r="L1" s="1"/>
      <c r="N1" s="1"/>
      <c r="AD1" s="1"/>
    </row>
    <row r="2">
      <c r="A2" s="2" t="s">
        <v>3</v>
      </c>
      <c r="B2" s="2" t="s">
        <v>4</v>
      </c>
      <c r="C2" s="2" t="s">
        <v>5</v>
      </c>
      <c r="D2" s="2" t="s">
        <v>3</v>
      </c>
      <c r="E2" s="2" t="s">
        <v>4</v>
      </c>
      <c r="F2" s="2" t="s">
        <v>5</v>
      </c>
      <c r="G2" s="2"/>
      <c r="H2" s="2" t="s">
        <v>6</v>
      </c>
      <c r="I2" s="2" t="s">
        <v>5</v>
      </c>
      <c r="N2" s="1"/>
      <c r="O2" s="1"/>
    </row>
    <row r="3">
      <c r="A3" s="2">
        <v>-0.5</v>
      </c>
      <c r="B3" s="2">
        <v>-15.0397213498469</v>
      </c>
      <c r="C3" s="3">
        <f t="shared" ref="C3:C19" si="1">(B3-B$11)</f>
        <v>0.4058545722</v>
      </c>
      <c r="D3" s="2">
        <v>-0.5</v>
      </c>
      <c r="E3" s="2">
        <v>-9.24779102366776</v>
      </c>
      <c r="F3" s="3">
        <f t="shared" ref="F3:F19" si="2">(E3-E$11)</f>
        <v>0.4149065297</v>
      </c>
      <c r="G3" s="2">
        <v>-0.5</v>
      </c>
      <c r="H3" s="2">
        <v>-3116.82999238982</v>
      </c>
      <c r="I3" s="3">
        <f t="shared" ref="I3:I19" si="3">(H3-H$11)*27.211386</f>
        <v>1.005405922</v>
      </c>
    </row>
    <row r="4">
      <c r="A4" s="2">
        <v>-0.4375</v>
      </c>
      <c r="B4" s="2">
        <v>-15.1337988873974</v>
      </c>
      <c r="C4" s="3">
        <f t="shared" si="1"/>
        <v>0.3117770346</v>
      </c>
      <c r="D4" s="2">
        <v>-0.4375</v>
      </c>
      <c r="E4" s="2">
        <v>-9.43851495526325</v>
      </c>
      <c r="F4" s="3">
        <f t="shared" si="2"/>
        <v>0.2241825981</v>
      </c>
      <c r="G4" s="2">
        <v>-0.4375</v>
      </c>
      <c r="H4" s="2">
        <v>-3116.84318877836</v>
      </c>
      <c r="I4" s="3">
        <f t="shared" si="3"/>
        <v>0.6463138999</v>
      </c>
    </row>
    <row r="5">
      <c r="A5" s="2">
        <v>-0.375</v>
      </c>
      <c r="B5" s="2">
        <v>-15.2155240622123</v>
      </c>
      <c r="C5" s="3">
        <f t="shared" si="1"/>
        <v>0.2300518598</v>
      </c>
      <c r="D5" s="2">
        <v>-0.375</v>
      </c>
      <c r="E5" s="2">
        <v>-9.53542407340437</v>
      </c>
      <c r="F5" s="3">
        <f t="shared" si="2"/>
        <v>0.1272734799</v>
      </c>
      <c r="G5" s="2">
        <v>-0.375</v>
      </c>
      <c r="H5" s="2">
        <v>-3116.85239547791</v>
      </c>
      <c r="I5" s="3">
        <f t="shared" si="3"/>
        <v>0.3957868447</v>
      </c>
    </row>
    <row r="6">
      <c r="A6" s="2">
        <v>-0.3125</v>
      </c>
      <c r="B6" s="2">
        <v>-15.2848817094435</v>
      </c>
      <c r="C6" s="3">
        <f t="shared" si="1"/>
        <v>0.1606942126</v>
      </c>
      <c r="D6" s="2">
        <v>-0.3125</v>
      </c>
      <c r="E6" s="2">
        <v>-9.57642144946969</v>
      </c>
      <c r="F6" s="3">
        <f t="shared" si="2"/>
        <v>0.08627610388</v>
      </c>
      <c r="G6" s="2">
        <v>-0.3125</v>
      </c>
      <c r="H6" s="2">
        <v>-3116.8586495835</v>
      </c>
      <c r="I6" s="3">
        <f t="shared" si="3"/>
        <v>0.2256039634</v>
      </c>
    </row>
    <row r="7">
      <c r="A7" s="2">
        <v>-0.25</v>
      </c>
      <c r="B7" s="2">
        <v>-15.3418555572746</v>
      </c>
      <c r="C7" s="3">
        <f t="shared" si="1"/>
        <v>0.1037203648</v>
      </c>
      <c r="D7" s="2">
        <v>-0.25</v>
      </c>
      <c r="E7" s="2">
        <v>-9.6393567718001</v>
      </c>
      <c r="F7" s="3">
        <f t="shared" si="2"/>
        <v>0.02334078155</v>
      </c>
      <c r="G7" s="4">
        <v>-0.25</v>
      </c>
      <c r="H7" s="4">
        <v>-3116.86272934241</v>
      </c>
      <c r="I7" s="3">
        <f t="shared" si="3"/>
        <v>0.1145880689</v>
      </c>
    </row>
    <row r="8">
      <c r="A8" s="2">
        <v>-0.1875</v>
      </c>
      <c r="B8" s="2">
        <v>-15.3864287366656</v>
      </c>
      <c r="C8" s="3">
        <f t="shared" si="1"/>
        <v>0.05914718537</v>
      </c>
      <c r="D8" s="2">
        <v>-0.1875</v>
      </c>
      <c r="E8" s="2">
        <v>-9.70022815691959</v>
      </c>
      <c r="F8" s="3">
        <f t="shared" si="2"/>
        <v>-0.03753060357</v>
      </c>
      <c r="G8" s="4">
        <v>-0.1875</v>
      </c>
      <c r="H8" s="4">
        <v>-3116.86520585048</v>
      </c>
      <c r="I8" s="3">
        <f t="shared" si="3"/>
        <v>0.04719885189</v>
      </c>
    </row>
    <row r="9">
      <c r="A9" s="2">
        <v>-0.125</v>
      </c>
      <c r="B9" s="2">
        <v>-15.418584242619</v>
      </c>
      <c r="C9" s="3">
        <f t="shared" si="1"/>
        <v>0.02699167942</v>
      </c>
      <c r="D9" s="2">
        <v>-0.125</v>
      </c>
      <c r="E9" s="2">
        <v>-9.71610449727979</v>
      </c>
      <c r="F9" s="3">
        <f t="shared" si="2"/>
        <v>-0.05340694393</v>
      </c>
      <c r="G9" s="4">
        <v>-0.125</v>
      </c>
      <c r="H9" s="4">
        <v>-3116.86652514895</v>
      </c>
      <c r="I9" s="3">
        <f t="shared" si="3"/>
        <v>0.01129891197</v>
      </c>
    </row>
    <row r="10">
      <c r="A10" s="2">
        <v>-0.0625</v>
      </c>
      <c r="B10" s="2">
        <v>-15.4383053418504</v>
      </c>
      <c r="C10" s="3">
        <f t="shared" si="1"/>
        <v>0.007270580187</v>
      </c>
      <c r="D10" s="2">
        <v>-0.0625</v>
      </c>
      <c r="E10" s="2">
        <v>-9.69429797010848</v>
      </c>
      <c r="F10" s="3">
        <f t="shared" si="2"/>
        <v>-0.03160041676</v>
      </c>
      <c r="G10" s="4">
        <v>-0.0625</v>
      </c>
      <c r="H10" s="4">
        <v>-3116.8670286606</v>
      </c>
      <c r="I10" s="3">
        <f t="shared" si="3"/>
        <v>-0.002402337895</v>
      </c>
    </row>
    <row r="11">
      <c r="A11" s="2">
        <v>0.0</v>
      </c>
      <c r="B11" s="2">
        <v>-15.4455759220373</v>
      </c>
      <c r="C11" s="3">
        <f t="shared" si="1"/>
        <v>0</v>
      </c>
      <c r="D11" s="2">
        <v>0.0</v>
      </c>
      <c r="E11" s="2">
        <v>-9.6626975533491</v>
      </c>
      <c r="F11" s="3">
        <f t="shared" si="2"/>
        <v>0</v>
      </c>
      <c r="G11" s="4">
        <v>0.0</v>
      </c>
      <c r="H11" s="4">
        <v>-3116.86694037631</v>
      </c>
      <c r="I11" s="3">
        <f t="shared" si="3"/>
        <v>0</v>
      </c>
    </row>
    <row r="12">
      <c r="A12" s="2">
        <v>0.0625</v>
      </c>
      <c r="B12" s="2">
        <v>-15.4403807783937</v>
      </c>
      <c r="C12" s="3">
        <f t="shared" si="1"/>
        <v>0.005195143644</v>
      </c>
      <c r="D12" s="2">
        <v>0.0625</v>
      </c>
      <c r="E12" s="2">
        <v>-9.6205231820237</v>
      </c>
      <c r="F12" s="3">
        <f t="shared" si="2"/>
        <v>0.04217437133</v>
      </c>
      <c r="G12" s="4">
        <v>0.0625</v>
      </c>
      <c r="H12" s="4">
        <v>-3116.86642663089</v>
      </c>
      <c r="I12" s="3">
        <f t="shared" si="3"/>
        <v>0.01397972493</v>
      </c>
    </row>
    <row r="13">
      <c r="A13" s="2">
        <v>0.125</v>
      </c>
      <c r="B13" s="2">
        <v>-15.4227058344819</v>
      </c>
      <c r="C13" s="3">
        <f t="shared" si="1"/>
        <v>0.02287008756</v>
      </c>
      <c r="D13" s="2">
        <v>0.125</v>
      </c>
      <c r="E13" s="2">
        <v>-9.54578002495944</v>
      </c>
      <c r="F13" s="3">
        <f t="shared" si="2"/>
        <v>0.1169175284</v>
      </c>
      <c r="G13" s="4">
        <v>0.125</v>
      </c>
      <c r="H13" s="4">
        <v>-3116.86565571873</v>
      </c>
      <c r="I13" s="3">
        <f t="shared" si="3"/>
        <v>0.03495731329</v>
      </c>
    </row>
    <row r="14">
      <c r="A14" s="2">
        <v>0.1875</v>
      </c>
      <c r="B14" s="2">
        <v>-15.3925382960084</v>
      </c>
      <c r="C14" s="3">
        <f t="shared" si="1"/>
        <v>0.05303762603</v>
      </c>
      <c r="D14" s="2">
        <v>0.1875</v>
      </c>
      <c r="E14" s="2">
        <v>-9.43816299460959</v>
      </c>
      <c r="F14" s="3">
        <f t="shared" si="2"/>
        <v>0.2245345587</v>
      </c>
      <c r="G14" s="4">
        <v>0.1875</v>
      </c>
      <c r="H14" s="4">
        <v>-3116.86472225253</v>
      </c>
      <c r="I14" s="3">
        <f t="shared" si="3"/>
        <v>0.06035822237</v>
      </c>
    </row>
    <row r="15">
      <c r="A15" s="2">
        <v>0.25</v>
      </c>
      <c r="B15" s="2">
        <v>-15.3498667387496</v>
      </c>
      <c r="C15" s="3">
        <f t="shared" si="1"/>
        <v>0.09570918329</v>
      </c>
      <c r="D15" s="2">
        <v>0.25</v>
      </c>
      <c r="E15" s="2">
        <v>-9.36375237169942</v>
      </c>
      <c r="F15" s="3">
        <f t="shared" si="2"/>
        <v>0.2989451816</v>
      </c>
      <c r="G15" s="4">
        <v>0.25</v>
      </c>
      <c r="H15" s="4">
        <v>-3116.86366108921</v>
      </c>
      <c r="I15" s="3">
        <f t="shared" si="3"/>
        <v>0.08923394709</v>
      </c>
    </row>
    <row r="16">
      <c r="A16" s="2">
        <v>0.3125</v>
      </c>
      <c r="B16" s="2">
        <v>-15.2946811344415</v>
      </c>
      <c r="C16" s="3">
        <f t="shared" si="1"/>
        <v>0.1508947876</v>
      </c>
      <c r="D16" s="2">
        <v>0.3125</v>
      </c>
      <c r="E16" s="2">
        <v>-9.3356149537608</v>
      </c>
      <c r="F16" s="3">
        <f t="shared" si="2"/>
        <v>0.3270825996</v>
      </c>
      <c r="G16" s="4">
        <v>0.3125</v>
      </c>
      <c r="H16" s="4">
        <v>-3116.86252979017</v>
      </c>
      <c r="I16" s="3">
        <f t="shared" si="3"/>
        <v>0.1200181619</v>
      </c>
    </row>
    <row r="17">
      <c r="A17" s="2">
        <v>0.375</v>
      </c>
      <c r="B17" s="2">
        <v>-15.2269728210998</v>
      </c>
      <c r="C17" s="3">
        <f t="shared" si="1"/>
        <v>0.2186031009</v>
      </c>
      <c r="D17" s="2">
        <v>0.375</v>
      </c>
      <c r="E17" s="2">
        <v>-9.30915241001425</v>
      </c>
      <c r="F17" s="3">
        <f t="shared" si="2"/>
        <v>0.3535451433</v>
      </c>
      <c r="G17" s="4">
        <v>0.375</v>
      </c>
      <c r="H17" s="4">
        <v>-3116.86139998855</v>
      </c>
      <c r="I17" s="3">
        <f t="shared" si="3"/>
        <v>0.1507616299</v>
      </c>
    </row>
    <row r="18">
      <c r="A18" s="2">
        <v>0.4375</v>
      </c>
      <c r="B18" s="2">
        <v>-15.1467344264803</v>
      </c>
      <c r="C18" s="3">
        <f t="shared" si="1"/>
        <v>0.2988414956</v>
      </c>
      <c r="D18" s="2">
        <v>0.4375</v>
      </c>
      <c r="E18" s="2">
        <v>-9.2843685702227</v>
      </c>
      <c r="F18" s="3">
        <f t="shared" si="2"/>
        <v>0.3783289831</v>
      </c>
      <c r="G18" s="4">
        <v>0.4375</v>
      </c>
      <c r="H18" s="4">
        <v>-3116.86031194815</v>
      </c>
      <c r="I18" s="3">
        <f t="shared" si="3"/>
        <v>0.1803687172</v>
      </c>
    </row>
    <row r="19">
      <c r="A19" s="2">
        <v>0.5</v>
      </c>
      <c r="B19" s="2">
        <v>-15.0539597549729</v>
      </c>
      <c r="C19" s="3">
        <f t="shared" si="1"/>
        <v>0.3916161671</v>
      </c>
      <c r="D19" s="2">
        <v>0.5</v>
      </c>
      <c r="E19" s="2">
        <v>-9.26122199586286</v>
      </c>
      <c r="F19" s="3">
        <f t="shared" si="2"/>
        <v>0.4014755575</v>
      </c>
      <c r="G19" s="4">
        <v>0.5</v>
      </c>
      <c r="H19" s="4">
        <v>-3116.85929296075</v>
      </c>
      <c r="I19" s="3">
        <f t="shared" si="3"/>
        <v>0.2080967767</v>
      </c>
    </row>
  </sheetData>
  <mergeCells count="5">
    <mergeCell ref="A1:C1"/>
    <mergeCell ref="D1:F1"/>
    <mergeCell ref="G1:I1"/>
    <mergeCell ref="N1:O1"/>
    <mergeCell ref="AD1:A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D1" s="1" t="s">
        <v>28</v>
      </c>
      <c r="G1" s="1" t="s">
        <v>7</v>
      </c>
      <c r="J1" s="2"/>
      <c r="K1" s="1" t="s">
        <v>30</v>
      </c>
      <c r="N1" s="1" t="s">
        <v>31</v>
      </c>
      <c r="Q1" s="1" t="s">
        <v>7</v>
      </c>
      <c r="U1" s="1" t="s">
        <v>32</v>
      </c>
      <c r="X1" s="1" t="s">
        <v>31</v>
      </c>
      <c r="AA1" s="1" t="s">
        <v>7</v>
      </c>
    </row>
    <row r="2">
      <c r="A2" s="2" t="s">
        <v>8</v>
      </c>
      <c r="B2" s="2" t="s">
        <v>9</v>
      </c>
      <c r="C2" s="2" t="s">
        <v>5</v>
      </c>
      <c r="D2" s="2" t="s">
        <v>8</v>
      </c>
      <c r="E2" s="2" t="s">
        <v>4</v>
      </c>
      <c r="F2" s="2" t="s">
        <v>10</v>
      </c>
      <c r="G2" s="2" t="s">
        <v>8</v>
      </c>
      <c r="H2" s="2" t="s">
        <v>11</v>
      </c>
      <c r="I2" s="2" t="s">
        <v>5</v>
      </c>
      <c r="J2" s="2"/>
      <c r="K2" s="2" t="s">
        <v>12</v>
      </c>
      <c r="L2" s="2" t="s">
        <v>9</v>
      </c>
      <c r="M2" s="2" t="s">
        <v>5</v>
      </c>
      <c r="N2" s="2" t="s">
        <v>12</v>
      </c>
      <c r="O2" s="2" t="s">
        <v>4</v>
      </c>
      <c r="P2" s="2" t="s">
        <v>10</v>
      </c>
      <c r="Q2" s="2" t="s">
        <v>12</v>
      </c>
      <c r="R2" s="2" t="s">
        <v>11</v>
      </c>
      <c r="S2" s="2" t="s">
        <v>5</v>
      </c>
      <c r="U2" s="2" t="s">
        <v>13</v>
      </c>
      <c r="V2" s="2" t="s">
        <v>9</v>
      </c>
      <c r="W2" s="2" t="s">
        <v>5</v>
      </c>
      <c r="X2" s="2" t="s">
        <v>13</v>
      </c>
      <c r="Y2" s="2" t="s">
        <v>4</v>
      </c>
      <c r="Z2" s="2" t="s">
        <v>10</v>
      </c>
      <c r="AA2" s="2" t="s">
        <v>13</v>
      </c>
      <c r="AB2" s="2" t="s">
        <v>11</v>
      </c>
      <c r="AC2" s="2" t="s">
        <v>5</v>
      </c>
    </row>
    <row r="3">
      <c r="A3" s="2">
        <v>-0.5</v>
      </c>
      <c r="B3" s="2">
        <v>-8.58461957610266</v>
      </c>
      <c r="C3" s="5">
        <f t="shared" ref="C3:C19" si="1">(B:B-$B$11)</f>
        <v>1.078077977</v>
      </c>
      <c r="D3" s="2">
        <v>-0.5</v>
      </c>
      <c r="E3" s="2">
        <v>-14.1053640973553</v>
      </c>
      <c r="F3" s="5">
        <f t="shared" ref="F3:F19" si="2">(E3-E$11)</f>
        <v>1.340211825</v>
      </c>
      <c r="G3" s="4">
        <v>-0.5</v>
      </c>
      <c r="H3" s="4">
        <v>-3116.71431953015</v>
      </c>
      <c r="I3" s="5">
        <f t="shared" ref="I3:I19" si="3">(H3-H$11)*27.211386</f>
        <v>4.153024751</v>
      </c>
      <c r="J3" s="6"/>
      <c r="K3" s="2">
        <v>-0.5</v>
      </c>
      <c r="L3" s="2">
        <v>-9.70045803176682</v>
      </c>
      <c r="M3" s="5">
        <f t="shared" ref="M3:M19" si="4">(L:L-$L$11)</f>
        <v>-0.03776047842</v>
      </c>
      <c r="N3" s="2">
        <v>-0.5</v>
      </c>
      <c r="O3" s="2">
        <v>-14.2733763938103</v>
      </c>
      <c r="P3" s="5">
        <f t="shared" ref="P3:P19" si="5">(O3-O$11)</f>
        <v>1.172199528</v>
      </c>
      <c r="Q3" s="4" t="s">
        <v>14</v>
      </c>
      <c r="R3" s="4">
        <v>-3116.84273849594</v>
      </c>
      <c r="S3" s="5">
        <f t="shared" ref="S3:S19" si="6">(R3-R$11)*27.211386</f>
        <v>0.6585667109</v>
      </c>
      <c r="T3" s="6"/>
      <c r="U3" s="2">
        <v>-0.5</v>
      </c>
      <c r="V3" s="2">
        <v>-9.58589801371704</v>
      </c>
      <c r="W3" s="5">
        <f t="shared" ref="W3:W19" si="7">(V:V-$V$11)</f>
        <v>0.07679953963</v>
      </c>
      <c r="X3" s="2">
        <v>-0.5</v>
      </c>
      <c r="Y3" s="2">
        <v>-15.0892862801912</v>
      </c>
      <c r="Z3" s="5">
        <f t="shared" ref="Z3:Z19" si="8">(Y3-Y$11)</f>
        <v>0.3562896418</v>
      </c>
      <c r="AA3" s="4">
        <v>-0.5</v>
      </c>
      <c r="AB3" s="4">
        <v>-3116.8614766119</v>
      </c>
      <c r="AC3" s="5">
        <f t="shared" ref="AC3:AC19" si="9">(AB3-AB$11)*27.211386</f>
        <v>0.1486766005</v>
      </c>
    </row>
    <row r="4">
      <c r="A4" s="2">
        <v>-0.4375</v>
      </c>
      <c r="B4" s="2">
        <v>-9.1256978924755</v>
      </c>
      <c r="C4" s="5">
        <f t="shared" si="1"/>
        <v>0.5369996609</v>
      </c>
      <c r="D4" s="2">
        <v>-0.4375</v>
      </c>
      <c r="E4" s="2">
        <v>-14.4073161506592</v>
      </c>
      <c r="F4" s="5">
        <f t="shared" si="2"/>
        <v>1.038259771</v>
      </c>
      <c r="G4" s="4">
        <v>-0.4375</v>
      </c>
      <c r="H4" s="4">
        <v>-3116.75524518678</v>
      </c>
      <c r="I4" s="5">
        <f t="shared" si="3"/>
        <v>3.039380911</v>
      </c>
      <c r="J4" s="6"/>
      <c r="K4" s="2">
        <v>-0.4375</v>
      </c>
      <c r="L4" s="2">
        <v>-9.71598845923913</v>
      </c>
      <c r="M4" s="5">
        <f t="shared" si="4"/>
        <v>-0.05329090589</v>
      </c>
      <c r="N4" s="2">
        <v>-0.4375</v>
      </c>
      <c r="O4" s="2">
        <v>-14.5247740487331</v>
      </c>
      <c r="P4" s="5">
        <f t="shared" si="5"/>
        <v>0.9208018733</v>
      </c>
      <c r="Q4" s="4" t="s">
        <v>15</v>
      </c>
      <c r="R4" s="4">
        <v>-3116.84759396791</v>
      </c>
      <c r="S4" s="5">
        <f t="shared" si="6"/>
        <v>0.5264425889</v>
      </c>
      <c r="T4" s="6"/>
      <c r="U4" s="2">
        <v>-0.4375</v>
      </c>
      <c r="V4" s="2">
        <v>-9.60322401503569</v>
      </c>
      <c r="W4" s="5">
        <f t="shared" si="7"/>
        <v>0.05947353831</v>
      </c>
      <c r="X4" s="2">
        <v>-0.4375</v>
      </c>
      <c r="Y4" s="2">
        <v>-15.1853721415417</v>
      </c>
      <c r="Z4" s="5">
        <f t="shared" si="8"/>
        <v>0.2602037805</v>
      </c>
      <c r="AA4" s="4">
        <v>-0.4375</v>
      </c>
      <c r="AB4" s="4">
        <v>-3116.86239056228</v>
      </c>
      <c r="AC4" s="5">
        <f t="shared" si="9"/>
        <v>0.1238067439</v>
      </c>
    </row>
    <row r="5">
      <c r="A5" s="2">
        <v>-0.375</v>
      </c>
      <c r="B5" s="2">
        <v>-9.43423329331985</v>
      </c>
      <c r="C5" s="5">
        <f t="shared" si="1"/>
        <v>0.22846426</v>
      </c>
      <c r="D5" s="2">
        <v>-0.375</v>
      </c>
      <c r="E5" s="2">
        <v>-14.6716798077812</v>
      </c>
      <c r="F5" s="5">
        <f t="shared" si="2"/>
        <v>0.7738961143</v>
      </c>
      <c r="G5" s="4">
        <v>-0.375</v>
      </c>
      <c r="H5" s="4">
        <v>-3116.78740276641</v>
      </c>
      <c r="I5" s="5">
        <f t="shared" si="3"/>
        <v>2.164328599</v>
      </c>
      <c r="J5" s="6"/>
      <c r="K5" s="2">
        <v>-0.375</v>
      </c>
      <c r="L5" s="2">
        <v>-9.72919872517982</v>
      </c>
      <c r="M5" s="5">
        <f t="shared" si="4"/>
        <v>-0.06650117183</v>
      </c>
      <c r="N5" s="2">
        <v>-0.375</v>
      </c>
      <c r="O5" s="2">
        <v>-14.7379893998023</v>
      </c>
      <c r="P5" s="5">
        <f t="shared" si="5"/>
        <v>0.7075865222</v>
      </c>
      <c r="Q5" s="4" t="s">
        <v>16</v>
      </c>
      <c r="R5" s="4">
        <v>-3116.85190180665</v>
      </c>
      <c r="S5" s="5">
        <f t="shared" si="6"/>
        <v>0.4092203261</v>
      </c>
      <c r="T5" s="6"/>
      <c r="U5" s="2">
        <v>-0.375</v>
      </c>
      <c r="V5" s="2">
        <v>-9.61826138451415</v>
      </c>
      <c r="W5" s="5">
        <f t="shared" si="7"/>
        <v>0.04443616883</v>
      </c>
      <c r="X5" s="2">
        <v>-0.375</v>
      </c>
      <c r="Y5" s="2">
        <v>-15.2633669228276</v>
      </c>
      <c r="Z5" s="5">
        <f t="shared" si="8"/>
        <v>0.1822089992</v>
      </c>
      <c r="AA5" s="4">
        <v>-0.375</v>
      </c>
      <c r="AB5" s="4">
        <v>-3116.86333115908</v>
      </c>
      <c r="AC5" s="5">
        <f t="shared" si="9"/>
        <v>0.0982118013</v>
      </c>
    </row>
    <row r="6">
      <c r="A6" s="2">
        <v>-0.3125</v>
      </c>
      <c r="B6" s="2">
        <v>-9.60288027867355</v>
      </c>
      <c r="C6" s="5">
        <f t="shared" si="1"/>
        <v>0.05981727468</v>
      </c>
      <c r="D6" s="2">
        <v>-0.3125</v>
      </c>
      <c r="E6" s="2">
        <v>-14.8975130752981</v>
      </c>
      <c r="F6" s="5">
        <f t="shared" si="2"/>
        <v>0.5480628467</v>
      </c>
      <c r="G6" s="4">
        <v>-0.3125</v>
      </c>
      <c r="H6" s="4">
        <v>-3116.81238338804</v>
      </c>
      <c r="I6" s="5">
        <f t="shared" si="3"/>
        <v>1.484571261</v>
      </c>
      <c r="J6" s="6"/>
      <c r="K6" s="2">
        <v>-0.3125</v>
      </c>
      <c r="L6" s="2">
        <v>-9.73505331907631</v>
      </c>
      <c r="M6" s="5">
        <f t="shared" si="4"/>
        <v>-0.07235576573</v>
      </c>
      <c r="N6" s="2">
        <v>-0.3125</v>
      </c>
      <c r="O6" s="2">
        <v>-14.9153037042727</v>
      </c>
      <c r="P6" s="5">
        <f t="shared" si="5"/>
        <v>0.5302722178</v>
      </c>
      <c r="Q6" s="4" t="s">
        <v>17</v>
      </c>
      <c r="R6" s="4">
        <v>-3116.85570398918</v>
      </c>
      <c r="S6" s="5">
        <f t="shared" si="6"/>
        <v>0.3057576696</v>
      </c>
      <c r="T6" s="6"/>
      <c r="U6" s="2">
        <v>-0.3125</v>
      </c>
      <c r="V6" s="2">
        <v>-9.63104167106631</v>
      </c>
      <c r="W6" s="5">
        <f t="shared" si="7"/>
        <v>0.03165588228</v>
      </c>
      <c r="X6" s="2">
        <v>-0.3125</v>
      </c>
      <c r="Y6" s="2">
        <v>-15.324074194422</v>
      </c>
      <c r="Z6" s="5">
        <f t="shared" si="8"/>
        <v>0.1215017276</v>
      </c>
      <c r="AA6" s="4">
        <v>-0.3125</v>
      </c>
      <c r="AB6" s="4">
        <v>-3116.86425802949</v>
      </c>
      <c r="AC6" s="5">
        <f t="shared" si="9"/>
        <v>0.0729903728</v>
      </c>
    </row>
    <row r="7">
      <c r="A7" s="2">
        <v>-0.25</v>
      </c>
      <c r="B7" s="2">
        <v>-9.68664211290714</v>
      </c>
      <c r="C7" s="5">
        <f t="shared" si="1"/>
        <v>-0.02394455956</v>
      </c>
      <c r="D7" s="2">
        <v>-0.25</v>
      </c>
      <c r="E7" s="2">
        <v>-15.0844408921841</v>
      </c>
      <c r="F7" s="5">
        <f t="shared" si="2"/>
        <v>0.3611350299</v>
      </c>
      <c r="G7" s="4">
        <v>-0.25</v>
      </c>
      <c r="H7" s="4">
        <v>-3116.83154464014</v>
      </c>
      <c r="I7" s="5">
        <f t="shared" si="3"/>
        <v>0.963167034</v>
      </c>
      <c r="J7" s="6"/>
      <c r="K7" s="2">
        <v>-0.25</v>
      </c>
      <c r="L7" s="2">
        <v>-9.7337201244688</v>
      </c>
      <c r="M7" s="5">
        <f t="shared" si="4"/>
        <v>-0.07102257112</v>
      </c>
      <c r="N7" s="2">
        <v>-0.25</v>
      </c>
      <c r="O7" s="2">
        <v>-15.0613854312787</v>
      </c>
      <c r="P7" s="5">
        <f t="shared" si="5"/>
        <v>0.3841904908</v>
      </c>
      <c r="Q7" s="4" t="s">
        <v>18</v>
      </c>
      <c r="R7" s="4">
        <v>-3116.85899599041</v>
      </c>
      <c r="S7" s="5">
        <f t="shared" si="6"/>
        <v>0.2161777534</v>
      </c>
      <c r="T7" s="6"/>
      <c r="U7" s="2">
        <v>-0.25</v>
      </c>
      <c r="V7" s="2">
        <v>-9.64160983630235</v>
      </c>
      <c r="W7" s="5">
        <f t="shared" si="7"/>
        <v>0.02108771705</v>
      </c>
      <c r="X7" s="2">
        <v>-0.25</v>
      </c>
      <c r="Y7" s="2">
        <v>-15.3689655223998</v>
      </c>
      <c r="Z7" s="5">
        <f t="shared" si="8"/>
        <v>0.07661039964</v>
      </c>
      <c r="AA7" s="4">
        <v>-0.25</v>
      </c>
      <c r="AB7" s="4">
        <v>-3116.86509341852</v>
      </c>
      <c r="AC7" s="5">
        <f t="shared" si="9"/>
        <v>0.05025827945</v>
      </c>
    </row>
    <row r="8">
      <c r="A8" s="2">
        <v>-0.1875</v>
      </c>
      <c r="B8" s="2">
        <v>-9.71848293214036</v>
      </c>
      <c r="C8" s="5">
        <f t="shared" si="1"/>
        <v>-0.05578537879</v>
      </c>
      <c r="D8" s="2">
        <v>-0.1875</v>
      </c>
      <c r="E8" s="2">
        <v>-15.2324901723475</v>
      </c>
      <c r="F8" s="5">
        <f t="shared" si="2"/>
        <v>0.2130857497</v>
      </c>
      <c r="G8" s="4">
        <v>-0.1875</v>
      </c>
      <c r="H8" s="4">
        <v>-3116.84589944137</v>
      </c>
      <c r="I8" s="5">
        <f t="shared" si="3"/>
        <v>0.5725529967</v>
      </c>
      <c r="J8" s="6"/>
      <c r="K8" s="2">
        <v>-0.1875</v>
      </c>
      <c r="L8" s="2">
        <v>-9.72546583118091</v>
      </c>
      <c r="M8" s="5">
        <f t="shared" si="4"/>
        <v>-0.06276827783</v>
      </c>
      <c r="N8" s="2">
        <v>-0.1875</v>
      </c>
      <c r="O8" s="2">
        <v>-15.1857448741315</v>
      </c>
      <c r="P8" s="5">
        <f t="shared" si="5"/>
        <v>0.2598310479</v>
      </c>
      <c r="Q8" s="4" t="s">
        <v>19</v>
      </c>
      <c r="R8" s="4">
        <v>-3116.86177340578</v>
      </c>
      <c r="S8" s="5">
        <f t="shared" si="6"/>
        <v>0.1406004317</v>
      </c>
      <c r="T8" s="6"/>
      <c r="U8" s="2">
        <v>-0.1875</v>
      </c>
      <c r="V8" s="2">
        <v>-9.65001645050597</v>
      </c>
      <c r="W8" s="5">
        <f t="shared" si="7"/>
        <v>0.01268110284</v>
      </c>
      <c r="X8" s="2">
        <v>-0.1875</v>
      </c>
      <c r="Y8" s="2">
        <v>-15.4005264175404</v>
      </c>
      <c r="Z8" s="5">
        <f t="shared" si="8"/>
        <v>0.0450495045</v>
      </c>
      <c r="AA8" s="4">
        <v>-0.1875</v>
      </c>
      <c r="AB8" s="4">
        <v>-3116.86581031978</v>
      </c>
      <c r="AC8" s="5">
        <f t="shared" si="9"/>
        <v>0.03075040254</v>
      </c>
    </row>
    <row r="9">
      <c r="A9" s="2">
        <v>-0.125</v>
      </c>
      <c r="B9" s="2">
        <v>-9.71818235371972</v>
      </c>
      <c r="C9" s="5">
        <f t="shared" si="1"/>
        <v>-0.05548480037</v>
      </c>
      <c r="D9" s="2">
        <v>-0.125</v>
      </c>
      <c r="E9" s="2">
        <v>-15.3418652632542</v>
      </c>
      <c r="F9" s="5">
        <f t="shared" si="2"/>
        <v>0.1037106588</v>
      </c>
      <c r="G9" s="4">
        <v>-0.125</v>
      </c>
      <c r="H9" s="4">
        <v>-3116.85622648204</v>
      </c>
      <c r="I9" s="5">
        <f t="shared" si="3"/>
        <v>0.2915399068</v>
      </c>
      <c r="J9" s="6"/>
      <c r="K9" s="2">
        <v>-0.125</v>
      </c>
      <c r="L9" s="2">
        <v>-9.71062541072593</v>
      </c>
      <c r="M9" s="5">
        <f t="shared" si="4"/>
        <v>-0.04792785738</v>
      </c>
      <c r="N9" s="2">
        <v>-0.125</v>
      </c>
      <c r="O9" s="2">
        <v>-15.2960507105035</v>
      </c>
      <c r="P9" s="5">
        <f t="shared" si="5"/>
        <v>0.1495252115</v>
      </c>
      <c r="Q9" s="4" t="s">
        <v>20</v>
      </c>
      <c r="R9" s="4">
        <v>-3116.86402058737</v>
      </c>
      <c r="S9" s="5">
        <f t="shared" si="6"/>
        <v>0.07945150607</v>
      </c>
      <c r="T9" s="6"/>
      <c r="U9" s="2">
        <v>-0.125</v>
      </c>
      <c r="V9" s="2">
        <v>-9.65630982354223</v>
      </c>
      <c r="W9" s="5">
        <f t="shared" si="7"/>
        <v>0.006387729807</v>
      </c>
      <c r="X9" s="2">
        <v>-0.125</v>
      </c>
      <c r="Y9" s="2">
        <v>-15.4222488662245</v>
      </c>
      <c r="Z9" s="5">
        <f t="shared" si="8"/>
        <v>0.02332705581</v>
      </c>
      <c r="AA9" s="4">
        <v>-0.125</v>
      </c>
      <c r="AB9" s="4">
        <v>-3116.86637754932</v>
      </c>
      <c r="AC9" s="5">
        <f t="shared" si="9"/>
        <v>0.01531530057</v>
      </c>
    </row>
    <row r="10">
      <c r="A10" s="2">
        <v>-0.0625</v>
      </c>
      <c r="B10" s="2">
        <v>-9.69741879234727</v>
      </c>
      <c r="C10" s="5">
        <f t="shared" si="1"/>
        <v>-0.034721239</v>
      </c>
      <c r="D10" s="2">
        <v>-0.0625</v>
      </c>
      <c r="E10" s="2">
        <v>-15.4128166917963</v>
      </c>
      <c r="F10" s="5">
        <f t="shared" si="2"/>
        <v>0.03275923024</v>
      </c>
      <c r="G10" s="4">
        <v>-0.0625</v>
      </c>
      <c r="H10" s="4">
        <v>-3116.86309337761</v>
      </c>
      <c r="I10" s="5">
        <f t="shared" si="3"/>
        <v>0.1046821609</v>
      </c>
      <c r="J10" s="6"/>
      <c r="K10" s="2">
        <v>-0.0625</v>
      </c>
      <c r="L10" s="2">
        <v>-9.68957313041272</v>
      </c>
      <c r="M10" s="5">
        <f t="shared" si="4"/>
        <v>-0.02687557706</v>
      </c>
      <c r="N10" s="2">
        <v>-0.0625</v>
      </c>
      <c r="O10" s="2">
        <v>-15.3856227109892</v>
      </c>
      <c r="P10" s="5">
        <f t="shared" si="5"/>
        <v>0.05995321105</v>
      </c>
      <c r="Q10" s="4" t="s">
        <v>21</v>
      </c>
      <c r="R10" s="4">
        <v>-3116.86573022116</v>
      </c>
      <c r="S10" s="5">
        <f t="shared" si="6"/>
        <v>0.03293000109</v>
      </c>
      <c r="T10" s="6"/>
      <c r="U10" s="2">
        <v>-0.0625</v>
      </c>
      <c r="V10" s="2">
        <v>-9.66052888061729</v>
      </c>
      <c r="W10" s="5">
        <f t="shared" si="7"/>
        <v>0.002168672732</v>
      </c>
      <c r="X10" s="2">
        <v>-0.0625</v>
      </c>
      <c r="Y10" s="2">
        <v>-15.4372092506636</v>
      </c>
      <c r="Z10" s="5">
        <f t="shared" si="8"/>
        <v>0.008366671374</v>
      </c>
      <c r="AA10" s="4">
        <v>-0.0625</v>
      </c>
      <c r="AB10" s="4">
        <v>-3116.86675766708</v>
      </c>
      <c r="AC10" s="5">
        <f t="shared" si="9"/>
        <v>0.00497176948</v>
      </c>
    </row>
    <row r="11">
      <c r="A11" s="2">
        <v>0.0</v>
      </c>
      <c r="B11" s="2">
        <v>-9.6626975533491</v>
      </c>
      <c r="C11" s="5">
        <f t="shared" si="1"/>
        <v>0</v>
      </c>
      <c r="D11" s="2">
        <v>0.0</v>
      </c>
      <c r="E11" s="2">
        <v>-15.4455759220373</v>
      </c>
      <c r="F11" s="5">
        <f t="shared" si="2"/>
        <v>0</v>
      </c>
      <c r="G11" s="4">
        <v>0.0</v>
      </c>
      <c r="H11" s="4">
        <v>-3116.8669403761</v>
      </c>
      <c r="I11" s="5">
        <f t="shared" si="3"/>
        <v>0</v>
      </c>
      <c r="J11" s="6"/>
      <c r="K11" s="2">
        <v>0.0</v>
      </c>
      <c r="L11" s="2">
        <v>-9.6626975533491</v>
      </c>
      <c r="M11" s="5">
        <f t="shared" si="4"/>
        <v>0</v>
      </c>
      <c r="N11" s="2">
        <v>0.0</v>
      </c>
      <c r="O11" s="2">
        <v>-15.4455759220373</v>
      </c>
      <c r="P11" s="5">
        <f t="shared" si="5"/>
        <v>0</v>
      </c>
      <c r="Q11" s="4" t="s">
        <v>22</v>
      </c>
      <c r="R11" s="4">
        <v>-3116.86694037639</v>
      </c>
      <c r="S11" s="5">
        <f t="shared" si="6"/>
        <v>0</v>
      </c>
      <c r="T11" s="6"/>
      <c r="U11" s="2">
        <v>0.0</v>
      </c>
      <c r="V11" s="2">
        <v>-9.6626975533491</v>
      </c>
      <c r="W11" s="5">
        <f t="shared" si="7"/>
        <v>0</v>
      </c>
      <c r="X11" s="2">
        <v>0.0</v>
      </c>
      <c r="Y11" s="2">
        <v>-15.4455759220373</v>
      </c>
      <c r="Z11" s="5">
        <f t="shared" si="8"/>
        <v>0</v>
      </c>
      <c r="AA11" s="4">
        <v>0.0</v>
      </c>
      <c r="AB11" s="4">
        <v>-3116.86694037624</v>
      </c>
      <c r="AC11" s="5">
        <f t="shared" si="9"/>
        <v>0</v>
      </c>
    </row>
    <row r="12">
      <c r="A12" s="2">
        <v>0.0625</v>
      </c>
      <c r="B12" s="2">
        <v>-9.61701042938207</v>
      </c>
      <c r="C12" s="5">
        <f t="shared" si="1"/>
        <v>0.04568712397</v>
      </c>
      <c r="D12" s="2">
        <v>0.0625</v>
      </c>
      <c r="E12" s="2">
        <v>-15.4403237002334</v>
      </c>
      <c r="F12" s="5">
        <f t="shared" si="2"/>
        <v>0.005252221804</v>
      </c>
      <c r="G12" s="4">
        <v>0.0625</v>
      </c>
      <c r="H12" s="4">
        <v>-3116.86802845563</v>
      </c>
      <c r="I12" s="5">
        <f t="shared" si="3"/>
        <v>-0.02960815209</v>
      </c>
      <c r="J12" s="6"/>
      <c r="K12" s="2">
        <v>0.0625</v>
      </c>
      <c r="L12" s="2">
        <v>-9.63038188830407</v>
      </c>
      <c r="M12" s="5">
        <f t="shared" si="4"/>
        <v>0.03231566505</v>
      </c>
      <c r="N12" s="2">
        <v>0.0625</v>
      </c>
      <c r="O12" s="2">
        <v>-15.4719832622829</v>
      </c>
      <c r="P12" s="5">
        <f t="shared" si="5"/>
        <v>-0.02640734025</v>
      </c>
      <c r="Q12" s="4" t="s">
        <v>23</v>
      </c>
      <c r="R12" s="4">
        <v>-3116.8676440498</v>
      </c>
      <c r="S12" s="5">
        <f t="shared" si="6"/>
        <v>-0.01914792878</v>
      </c>
      <c r="T12" s="6"/>
      <c r="U12" s="2">
        <v>0.0625</v>
      </c>
      <c r="V12" s="2">
        <v>-9.6628213137288</v>
      </c>
      <c r="W12" s="5">
        <f t="shared" si="7"/>
        <v>-0.0001237603797</v>
      </c>
      <c r="X12" s="2">
        <v>0.0625</v>
      </c>
      <c r="Y12" s="2">
        <v>-15.4445306724903</v>
      </c>
      <c r="Z12" s="5">
        <f t="shared" si="8"/>
        <v>0.001045249547</v>
      </c>
      <c r="AA12" s="4">
        <v>0.0625</v>
      </c>
      <c r="AB12" s="4">
        <v>-3116.86696968146</v>
      </c>
      <c r="AC12" s="5">
        <f t="shared" si="9"/>
        <v>-0.0007974356497</v>
      </c>
    </row>
    <row r="13">
      <c r="A13" s="2">
        <v>0.125</v>
      </c>
      <c r="B13" s="2">
        <v>-9.56071581465077</v>
      </c>
      <c r="C13" s="5">
        <f t="shared" si="1"/>
        <v>0.1019817387</v>
      </c>
      <c r="D13" s="2">
        <v>0.125</v>
      </c>
      <c r="E13" s="2">
        <v>-15.3971740246293</v>
      </c>
      <c r="F13" s="5">
        <f t="shared" si="2"/>
        <v>0.04840189741</v>
      </c>
      <c r="G13" s="4">
        <v>0.125</v>
      </c>
      <c r="H13" s="4">
        <v>-3116.86638315394</v>
      </c>
      <c r="I13" s="5">
        <f t="shared" si="3"/>
        <v>0.01516278728</v>
      </c>
      <c r="J13" s="6"/>
      <c r="K13" s="2">
        <v>0.125</v>
      </c>
      <c r="L13" s="2">
        <v>-9.59299014331531</v>
      </c>
      <c r="M13" s="5">
        <f t="shared" si="4"/>
        <v>0.06970741003</v>
      </c>
      <c r="N13" s="2">
        <v>0.125</v>
      </c>
      <c r="O13" s="2">
        <v>-15.463503176827</v>
      </c>
      <c r="P13" s="5">
        <f t="shared" si="5"/>
        <v>-0.01792725479</v>
      </c>
      <c r="Q13" s="4" t="s">
        <v>24</v>
      </c>
      <c r="R13" s="4">
        <v>-3116.86783063315</v>
      </c>
      <c r="S13" s="5">
        <f t="shared" si="6"/>
        <v>-0.02422512033</v>
      </c>
      <c r="T13" s="6"/>
      <c r="U13" s="2">
        <v>0.125</v>
      </c>
      <c r="V13" s="2">
        <v>-9.6608862472424</v>
      </c>
      <c r="W13" s="5">
        <f t="shared" si="7"/>
        <v>0.001811306107</v>
      </c>
      <c r="X13" s="2">
        <v>0.125</v>
      </c>
      <c r="Y13" s="2">
        <v>-15.4307376015998</v>
      </c>
      <c r="Z13" s="5">
        <f t="shared" si="8"/>
        <v>0.01483832044</v>
      </c>
      <c r="AA13" s="4">
        <v>0.125</v>
      </c>
      <c r="AB13" s="4">
        <v>-3116.86691307599</v>
      </c>
      <c r="AC13" s="5">
        <f t="shared" si="9"/>
        <v>0.0007428776452</v>
      </c>
    </row>
    <row r="14">
      <c r="A14" s="2">
        <v>0.1875</v>
      </c>
      <c r="B14" s="2">
        <v>-9.49190513549678</v>
      </c>
      <c r="C14" s="5">
        <f t="shared" si="1"/>
        <v>0.1707924179</v>
      </c>
      <c r="D14" s="2">
        <v>0.1875</v>
      </c>
      <c r="E14" s="2">
        <v>-15.316164790658</v>
      </c>
      <c r="F14" s="5">
        <f t="shared" si="2"/>
        <v>0.1294111314</v>
      </c>
      <c r="G14" s="4">
        <v>0.1875</v>
      </c>
      <c r="H14" s="4">
        <v>-3116.86189034042</v>
      </c>
      <c r="I14" s="5">
        <f t="shared" si="3"/>
        <v>0.1374184702</v>
      </c>
      <c r="J14" s="6"/>
      <c r="K14" s="2">
        <v>0.1875</v>
      </c>
      <c r="L14" s="2">
        <v>-9.5508588407759</v>
      </c>
      <c r="M14" s="5">
        <f t="shared" si="4"/>
        <v>0.1118387126</v>
      </c>
      <c r="N14" s="2">
        <v>0.1875</v>
      </c>
      <c r="O14" s="2">
        <v>-15.4197832216796</v>
      </c>
      <c r="P14" s="5">
        <f t="shared" si="5"/>
        <v>0.02579270036</v>
      </c>
      <c r="Q14" s="4" t="s">
        <v>25</v>
      </c>
      <c r="R14" s="4">
        <v>-3116.86757635133</v>
      </c>
      <c r="S14" s="5">
        <f t="shared" si="6"/>
        <v>-0.01730575958</v>
      </c>
      <c r="T14" s="6"/>
      <c r="U14" s="2">
        <v>0.1875</v>
      </c>
      <c r="V14" s="2">
        <v>-9.65686077256331</v>
      </c>
      <c r="W14" s="5">
        <f t="shared" si="7"/>
        <v>0.005836780786</v>
      </c>
      <c r="X14" s="2">
        <v>0.1875</v>
      </c>
      <c r="Y14" s="2">
        <v>-15.4018423841802</v>
      </c>
      <c r="Z14" s="5">
        <f t="shared" si="8"/>
        <v>0.04373353786</v>
      </c>
      <c r="AA14" s="4">
        <v>0.1875</v>
      </c>
      <c r="AB14" s="4">
        <v>-3116.86675791642</v>
      </c>
      <c r="AC14" s="5">
        <f t="shared" si="9"/>
        <v>0.004964984599</v>
      </c>
    </row>
    <row r="15">
      <c r="A15" s="2">
        <v>0.25</v>
      </c>
      <c r="B15" s="2">
        <v>-9.40639102149875</v>
      </c>
      <c r="C15" s="5">
        <f t="shared" si="1"/>
        <v>0.2563065319</v>
      </c>
      <c r="D15" s="2">
        <v>0.25</v>
      </c>
      <c r="E15" s="2">
        <v>-15.1972505690223</v>
      </c>
      <c r="F15" s="5">
        <f t="shared" si="2"/>
        <v>0.248325353</v>
      </c>
      <c r="G15" s="4">
        <v>0.25</v>
      </c>
      <c r="H15" s="4">
        <v>-3116.85431190988</v>
      </c>
      <c r="I15" s="5">
        <f t="shared" si="3"/>
        <v>0.3436380689</v>
      </c>
      <c r="J15" s="6"/>
      <c r="K15" s="2">
        <v>0.25</v>
      </c>
      <c r="L15" s="2">
        <v>-9.50429357562512</v>
      </c>
      <c r="M15" s="5">
        <f t="shared" si="4"/>
        <v>0.1584039777</v>
      </c>
      <c r="N15" s="2">
        <v>0.25</v>
      </c>
      <c r="O15" s="2">
        <v>-15.3408911431183</v>
      </c>
      <c r="P15" s="5">
        <f t="shared" si="5"/>
        <v>0.1046847789</v>
      </c>
      <c r="Q15" s="4" t="s">
        <v>26</v>
      </c>
      <c r="R15" s="4">
        <v>-3116.86694091338</v>
      </c>
      <c r="S15" s="5">
        <f t="shared" si="6"/>
        <v>-0.00001461223601</v>
      </c>
      <c r="T15" s="6"/>
      <c r="U15" s="2">
        <v>0.25</v>
      </c>
      <c r="V15" s="2">
        <v>-9.6506998104111</v>
      </c>
      <c r="W15" s="5">
        <f t="shared" si="7"/>
        <v>0.01199774294</v>
      </c>
      <c r="X15" s="2">
        <v>0.25</v>
      </c>
      <c r="Y15" s="2">
        <v>-15.3565140491611</v>
      </c>
      <c r="Z15" s="5">
        <f t="shared" si="8"/>
        <v>0.08906187288</v>
      </c>
      <c r="AA15" s="4">
        <v>0.25</v>
      </c>
      <c r="AB15" s="4">
        <v>-3116.86649643981</v>
      </c>
      <c r="AC15" s="5">
        <f t="shared" si="9"/>
        <v>0.01208012556</v>
      </c>
    </row>
    <row r="16">
      <c r="A16" s="2">
        <v>0.3125</v>
      </c>
      <c r="B16" s="2">
        <v>-9.29737176102702</v>
      </c>
      <c r="C16" s="5">
        <f t="shared" si="1"/>
        <v>0.3653257923</v>
      </c>
      <c r="D16" s="2">
        <v>0.3125</v>
      </c>
      <c r="E16" s="2">
        <v>-15.0402950388665</v>
      </c>
      <c r="F16" s="5">
        <f t="shared" si="2"/>
        <v>0.4052808832</v>
      </c>
      <c r="G16" s="4">
        <v>0.3125</v>
      </c>
      <c r="H16" s="4">
        <v>-3116.84325858642</v>
      </c>
      <c r="I16" s="5">
        <f t="shared" si="3"/>
        <v>0.6444143202</v>
      </c>
      <c r="J16" s="6"/>
      <c r="K16" s="2">
        <v>0.3125</v>
      </c>
      <c r="L16" s="2">
        <v>-9.45356942537013</v>
      </c>
      <c r="M16" s="5">
        <f t="shared" si="4"/>
        <v>0.209128128</v>
      </c>
      <c r="N16" s="2">
        <v>0.3125</v>
      </c>
      <c r="O16" s="2">
        <v>-15.227109991337</v>
      </c>
      <c r="P16" s="5">
        <f t="shared" si="5"/>
        <v>0.2184659307</v>
      </c>
      <c r="Q16" s="4" t="s">
        <v>27</v>
      </c>
      <c r="R16" s="4">
        <v>-3116.86594703103</v>
      </c>
      <c r="S16" s="5">
        <f t="shared" si="6"/>
        <v>0.02703030403</v>
      </c>
      <c r="T16" s="6"/>
      <c r="U16" s="2">
        <v>0.3125</v>
      </c>
      <c r="V16" s="2">
        <v>-9.64235092803399</v>
      </c>
      <c r="W16" s="5">
        <f t="shared" si="7"/>
        <v>0.02034662532</v>
      </c>
      <c r="X16" s="2">
        <v>0.3125</v>
      </c>
      <c r="Y16" s="2">
        <v>-15.2940982594438</v>
      </c>
      <c r="Z16" s="5">
        <f t="shared" si="8"/>
        <v>0.1514776626</v>
      </c>
      <c r="AA16" s="4">
        <v>0.3125</v>
      </c>
      <c r="AB16" s="4">
        <v>-3116.86616757226</v>
      </c>
      <c r="AC16" s="5">
        <f t="shared" si="9"/>
        <v>0.0210290674</v>
      </c>
    </row>
    <row r="17">
      <c r="A17" s="2">
        <v>0.375</v>
      </c>
      <c r="B17" s="2">
        <v>-9.15477180986529</v>
      </c>
      <c r="C17" s="5">
        <f t="shared" si="1"/>
        <v>0.5079257435</v>
      </c>
      <c r="D17" s="2">
        <v>0.375</v>
      </c>
      <c r="E17" s="2">
        <v>-14.8450615582219</v>
      </c>
      <c r="F17" s="5">
        <f t="shared" si="2"/>
        <v>0.6005143638</v>
      </c>
      <c r="G17" s="4">
        <v>0.375</v>
      </c>
      <c r="H17" s="4">
        <v>-3116.82816160902</v>
      </c>
      <c r="I17" s="5">
        <f t="shared" si="3"/>
        <v>1.055224</v>
      </c>
      <c r="J17" s="6"/>
      <c r="K17" s="2">
        <v>0.375</v>
      </c>
      <c r="L17" s="2">
        <v>-9.39893412056054</v>
      </c>
      <c r="M17" s="5">
        <f t="shared" si="4"/>
        <v>0.2637634328</v>
      </c>
      <c r="N17" s="2">
        <v>0.375</v>
      </c>
      <c r="O17" s="2">
        <v>-15.0788553890055</v>
      </c>
      <c r="P17" s="5">
        <f t="shared" si="5"/>
        <v>0.366720533</v>
      </c>
      <c r="Q17" s="4">
        <v>0.375</v>
      </c>
      <c r="R17" s="4">
        <v>-3116.86465906913</v>
      </c>
      <c r="S17" s="5">
        <f t="shared" si="6"/>
        <v>0.06207753244</v>
      </c>
      <c r="T17" s="6"/>
      <c r="U17" s="2">
        <v>0.375</v>
      </c>
      <c r="V17" s="2">
        <v>-9.63176177757601</v>
      </c>
      <c r="W17" s="5">
        <f t="shared" si="7"/>
        <v>0.03093577577</v>
      </c>
      <c r="X17" s="2">
        <v>0.375</v>
      </c>
      <c r="Y17" s="2">
        <v>-15.214337764652</v>
      </c>
      <c r="Z17" s="5">
        <f t="shared" si="8"/>
        <v>0.2312381574</v>
      </c>
      <c r="AA17" s="4">
        <v>0.375</v>
      </c>
      <c r="AB17" s="4">
        <v>-3116.86580645457</v>
      </c>
      <c r="AC17" s="5">
        <f t="shared" si="9"/>
        <v>0.03085558026</v>
      </c>
    </row>
    <row r="18">
      <c r="A18" s="2">
        <v>0.4375</v>
      </c>
      <c r="B18" s="2">
        <v>-8.96421692169768</v>
      </c>
      <c r="C18" s="5">
        <f t="shared" si="1"/>
        <v>0.6984806317</v>
      </c>
      <c r="D18" s="2">
        <v>0.4375</v>
      </c>
      <c r="E18" s="2">
        <v>-14.6112007817323</v>
      </c>
      <c r="F18" s="5">
        <f t="shared" si="2"/>
        <v>0.8343751403</v>
      </c>
      <c r="G18" s="4">
        <v>0.4375</v>
      </c>
      <c r="H18" s="4">
        <v>-3116.80824177416</v>
      </c>
      <c r="I18" s="5">
        <f t="shared" si="3"/>
        <v>1.597270315</v>
      </c>
      <c r="J18" s="6"/>
      <c r="K18" s="2">
        <v>0.4375</v>
      </c>
      <c r="L18" s="2">
        <v>-9.34061291976394</v>
      </c>
      <c r="M18" s="5">
        <f t="shared" si="4"/>
        <v>0.3220846336</v>
      </c>
      <c r="N18" s="2">
        <v>0.4375</v>
      </c>
      <c r="O18" s="2">
        <v>-14.8966367717536</v>
      </c>
      <c r="P18" s="5">
        <f t="shared" si="5"/>
        <v>0.5489391503</v>
      </c>
      <c r="Q18" s="4">
        <v>0.4375</v>
      </c>
      <c r="R18" s="4">
        <v>-3116.86320962134</v>
      </c>
      <c r="S18" s="5">
        <f t="shared" si="6"/>
        <v>0.1015190157</v>
      </c>
      <c r="T18" s="6"/>
      <c r="U18" s="2">
        <v>0.4375</v>
      </c>
      <c r="V18" s="2">
        <v>-9.61888803309754</v>
      </c>
      <c r="W18" s="5">
        <f t="shared" si="7"/>
        <v>0.04380952025</v>
      </c>
      <c r="X18" s="2">
        <v>0.4375</v>
      </c>
      <c r="Y18" s="2">
        <v>-15.1172015190944</v>
      </c>
      <c r="Z18" s="5">
        <f t="shared" si="8"/>
        <v>0.3283744029</v>
      </c>
      <c r="AA18" s="4">
        <v>0.4375</v>
      </c>
      <c r="AB18" s="4">
        <v>-3116.86541352685</v>
      </c>
      <c r="AC18" s="5">
        <f t="shared" si="9"/>
        <v>0.04154768812</v>
      </c>
    </row>
    <row r="19">
      <c r="A19" s="2">
        <v>0.5</v>
      </c>
      <c r="B19" s="2">
        <v>-8.70556883908244</v>
      </c>
      <c r="C19" s="5">
        <f t="shared" si="1"/>
        <v>0.9571287143</v>
      </c>
      <c r="D19" s="2">
        <v>0.5</v>
      </c>
      <c r="E19" s="2">
        <v>-14.3382343900029</v>
      </c>
      <c r="F19" s="5">
        <f t="shared" si="2"/>
        <v>1.107341532</v>
      </c>
      <c r="G19" s="4">
        <v>0.5</v>
      </c>
      <c r="H19" s="4">
        <v>-3116.78255547644</v>
      </c>
      <c r="I19" s="5">
        <f t="shared" si="3"/>
        <v>2.296230077</v>
      </c>
      <c r="J19" s="6"/>
      <c r="K19" s="2">
        <v>0.5</v>
      </c>
      <c r="L19" s="2">
        <v>-9.27881426463963</v>
      </c>
      <c r="M19" s="5">
        <f t="shared" si="4"/>
        <v>0.3838832887</v>
      </c>
      <c r="N19" s="2">
        <v>0.5</v>
      </c>
      <c r="O19" s="2">
        <v>-14.6810354149572</v>
      </c>
      <c r="P19" s="5">
        <f t="shared" si="5"/>
        <v>0.7645405071</v>
      </c>
      <c r="Q19" s="4">
        <v>0.5</v>
      </c>
      <c r="R19" s="4">
        <v>-3116.86160368089</v>
      </c>
      <c r="S19" s="5">
        <f t="shared" si="6"/>
        <v>0.1452188812</v>
      </c>
      <c r="T19" s="6"/>
      <c r="U19" s="2">
        <v>0.5</v>
      </c>
      <c r="V19" s="2">
        <v>-9.60370102223676</v>
      </c>
      <c r="W19" s="5">
        <f t="shared" si="7"/>
        <v>0.05899653111</v>
      </c>
      <c r="X19" s="2">
        <v>0.5</v>
      </c>
      <c r="Y19" s="2">
        <v>-15.0027843084602</v>
      </c>
      <c r="Z19" s="5">
        <f t="shared" si="8"/>
        <v>0.4427916136</v>
      </c>
      <c r="AA19" s="4">
        <v>0.5</v>
      </c>
      <c r="AB19" s="4">
        <v>-3116.86499312775</v>
      </c>
      <c r="AC19" s="5">
        <f t="shared" si="9"/>
        <v>0.0529873303</v>
      </c>
    </row>
    <row r="42">
      <c r="C42" s="7"/>
    </row>
    <row r="44">
      <c r="A44" s="1"/>
      <c r="D44" s="1"/>
      <c r="G44" s="1"/>
      <c r="L44" s="1"/>
      <c r="O44" s="1"/>
      <c r="R44" s="1"/>
    </row>
    <row r="67">
      <c r="O67" s="1"/>
      <c r="R67" s="1"/>
    </row>
    <row r="78">
      <c r="O78" s="8"/>
    </row>
    <row r="84">
      <c r="Q84" s="7"/>
    </row>
  </sheetData>
  <mergeCells count="17">
    <mergeCell ref="X1:Z1"/>
    <mergeCell ref="AA1:AC1"/>
    <mergeCell ref="A44:C44"/>
    <mergeCell ref="D44:F44"/>
    <mergeCell ref="G44:I44"/>
    <mergeCell ref="L44:N44"/>
    <mergeCell ref="O44:Q44"/>
    <mergeCell ref="R44:S44"/>
    <mergeCell ref="O67:Q67"/>
    <mergeCell ref="R67:S67"/>
    <mergeCell ref="A1:C1"/>
    <mergeCell ref="D1:F1"/>
    <mergeCell ref="G1:I1"/>
    <mergeCell ref="K1:M1"/>
    <mergeCell ref="N1:P1"/>
    <mergeCell ref="Q1:S1"/>
    <mergeCell ref="U1:W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3.38"/>
    <col customWidth="1" min="15" max="15" width="13.13"/>
    <col customWidth="1" min="16" max="19" width="13.38"/>
    <col customWidth="1" min="22" max="22" width="13.38"/>
  </cols>
  <sheetData>
    <row r="1">
      <c r="A1" s="9" t="s">
        <v>33</v>
      </c>
      <c r="M1" s="9" t="s">
        <v>34</v>
      </c>
    </row>
    <row r="2">
      <c r="A2" s="10" t="s">
        <v>31</v>
      </c>
      <c r="D2" s="10" t="s">
        <v>35</v>
      </c>
      <c r="G2" s="10" t="s">
        <v>2</v>
      </c>
      <c r="J2" s="10"/>
      <c r="K2" s="10" t="s">
        <v>36</v>
      </c>
      <c r="M2" s="1" t="s">
        <v>7</v>
      </c>
      <c r="P2" s="1" t="s">
        <v>35</v>
      </c>
      <c r="S2" s="1" t="s">
        <v>37</v>
      </c>
      <c r="V2" s="1"/>
      <c r="W2" s="1" t="s">
        <v>38</v>
      </c>
    </row>
    <row r="3">
      <c r="A3" s="11" t="s">
        <v>3</v>
      </c>
      <c r="B3" s="11" t="s">
        <v>4</v>
      </c>
      <c r="C3" s="11" t="s">
        <v>5</v>
      </c>
      <c r="D3" s="11" t="s">
        <v>3</v>
      </c>
      <c r="E3" s="11" t="s">
        <v>6</v>
      </c>
      <c r="F3" s="11" t="s">
        <v>5</v>
      </c>
      <c r="G3" s="11" t="s">
        <v>3</v>
      </c>
      <c r="H3" s="11" t="s">
        <v>6</v>
      </c>
      <c r="I3" s="11" t="s">
        <v>5</v>
      </c>
      <c r="J3" s="11" t="s">
        <v>3</v>
      </c>
      <c r="K3" s="10" t="s">
        <v>39</v>
      </c>
      <c r="L3" s="10" t="s">
        <v>40</v>
      </c>
      <c r="M3" s="2" t="s">
        <v>41</v>
      </c>
      <c r="N3" s="2" t="s">
        <v>11</v>
      </c>
      <c r="O3" s="2" t="s">
        <v>5</v>
      </c>
      <c r="P3" s="2" t="s">
        <v>41</v>
      </c>
      <c r="Q3" s="2" t="s">
        <v>11</v>
      </c>
      <c r="R3" s="2" t="s">
        <v>5</v>
      </c>
      <c r="S3" s="2" t="s">
        <v>41</v>
      </c>
      <c r="T3" s="2" t="s">
        <v>42</v>
      </c>
      <c r="U3" s="2" t="s">
        <v>5</v>
      </c>
      <c r="V3" s="2" t="s">
        <v>41</v>
      </c>
      <c r="W3" s="1" t="s">
        <v>39</v>
      </c>
      <c r="X3" s="1" t="s">
        <v>40</v>
      </c>
    </row>
    <row r="4">
      <c r="A4" s="12">
        <v>-1.0</v>
      </c>
      <c r="B4" s="12">
        <v>-14.598940772403</v>
      </c>
      <c r="C4" s="12">
        <f t="shared" ref="C4:C20" si="1">(B4-B$8)</f>
        <v>1.523043504</v>
      </c>
      <c r="D4" s="12">
        <v>-1.0</v>
      </c>
      <c r="E4" s="12">
        <v>-3116.06952963233</v>
      </c>
      <c r="F4" s="12">
        <f t="shared" ref="F4:F20" si="2">(E4-E$8)*27.211386</f>
        <v>16.29074016</v>
      </c>
      <c r="G4" s="12">
        <v>-1.0</v>
      </c>
      <c r="H4" s="12">
        <v>-3116.28630359279</v>
      </c>
      <c r="I4" s="12">
        <f t="shared" ref="I4:I20" si="3">(H4-H$8)*27.211386</f>
        <v>15.79993164</v>
      </c>
      <c r="J4" s="12">
        <v>-1.0</v>
      </c>
      <c r="K4" s="12">
        <v>0.547585</v>
      </c>
      <c r="L4" s="12">
        <v>0.92807</v>
      </c>
      <c r="M4" s="2">
        <v>-1.0</v>
      </c>
      <c r="N4" s="2">
        <v>-848.934290760219</v>
      </c>
      <c r="O4" s="3">
        <f t="shared" ref="O4:O39" si="4">(N4-N$14)*27.211386</f>
        <v>712.0717585</v>
      </c>
      <c r="P4" s="2">
        <v>-1.0</v>
      </c>
      <c r="Q4" s="2">
        <v>-848.912169454491</v>
      </c>
      <c r="R4" s="3">
        <f t="shared" ref="R4:R39" si="5">(Q4-Q$14)*27.211386</f>
        <v>712.0963181</v>
      </c>
      <c r="S4" s="2">
        <v>-1.0</v>
      </c>
      <c r="T4" s="2">
        <v>17.42543922399</v>
      </c>
      <c r="U4" s="3">
        <f t="shared" ref="U4:U39" si="6">T4-T$14</f>
        <v>15.54250461</v>
      </c>
      <c r="V4" s="2">
        <v>-1.0</v>
      </c>
      <c r="W4" s="2">
        <v>1.895401</v>
      </c>
      <c r="X4" s="2">
        <v>1.886045</v>
      </c>
    </row>
    <row r="5">
      <c r="A5" s="12">
        <v>-0.75</v>
      </c>
      <c r="B5" s="12">
        <v>-15.2596081665301</v>
      </c>
      <c r="C5" s="12">
        <f t="shared" si="1"/>
        <v>0.86237611</v>
      </c>
      <c r="D5" s="12">
        <v>-0.75</v>
      </c>
      <c r="E5" s="12">
        <v>-3116.49478690421</v>
      </c>
      <c r="F5" s="12">
        <f t="shared" si="2"/>
        <v>4.718900387</v>
      </c>
      <c r="G5" s="12">
        <v>-0.75</v>
      </c>
      <c r="H5" s="12">
        <v>-3116.70291778956</v>
      </c>
      <c r="I5" s="12">
        <f t="shared" si="3"/>
        <v>4.463281922</v>
      </c>
      <c r="J5" s="12">
        <v>-0.75</v>
      </c>
      <c r="K5" s="12">
        <v>0.388987</v>
      </c>
      <c r="L5" s="12">
        <v>0.864258</v>
      </c>
      <c r="M5" s="2">
        <v>-0.9</v>
      </c>
      <c r="N5" s="2">
        <v>-866.400095563009</v>
      </c>
      <c r="O5" s="3">
        <f t="shared" si="4"/>
        <v>236.8030022</v>
      </c>
      <c r="P5" s="2">
        <v>-0.9</v>
      </c>
      <c r="Q5" s="2">
        <v>-866.379039244339</v>
      </c>
      <c r="R5" s="3">
        <f t="shared" si="5"/>
        <v>236.798582</v>
      </c>
      <c r="S5" s="2">
        <v>-0.9</v>
      </c>
      <c r="T5" s="2">
        <v>14.1651953480473</v>
      </c>
      <c r="U5" s="3">
        <f t="shared" si="6"/>
        <v>12.28226074</v>
      </c>
      <c r="V5" s="2">
        <v>-0.9</v>
      </c>
      <c r="W5" s="2">
        <v>0.775177</v>
      </c>
      <c r="X5" s="2">
        <v>0.773868</v>
      </c>
    </row>
    <row r="6">
      <c r="A6" s="12">
        <v>-0.5</v>
      </c>
      <c r="B6" s="12">
        <v>-15.7340069214214</v>
      </c>
      <c r="C6" s="12">
        <f t="shared" si="1"/>
        <v>0.3879773552</v>
      </c>
      <c r="D6" s="12">
        <v>-0.5</v>
      </c>
      <c r="E6" s="12">
        <v>-3116.62540975556</v>
      </c>
      <c r="F6" s="12">
        <f t="shared" si="2"/>
        <v>1.164471558</v>
      </c>
      <c r="G6" s="12">
        <v>-0.5</v>
      </c>
      <c r="H6" s="12">
        <v>-3116.82999238976</v>
      </c>
      <c r="I6" s="12">
        <f t="shared" si="3"/>
        <v>1.005405925</v>
      </c>
      <c r="J6" s="12">
        <v>-0.5</v>
      </c>
      <c r="K6" s="12">
        <v>0.305058</v>
      </c>
      <c r="L6" s="12">
        <v>0.83593</v>
      </c>
      <c r="M6" s="2">
        <v>-0.8</v>
      </c>
      <c r="N6" s="2">
        <v>-871.165124689137</v>
      </c>
      <c r="O6" s="3">
        <f t="shared" si="4"/>
        <v>107.1399554</v>
      </c>
      <c r="P6" s="2">
        <v>-0.8</v>
      </c>
      <c r="Q6" s="2">
        <v>-871.144438651387</v>
      </c>
      <c r="R6" s="3">
        <f t="shared" si="5"/>
        <v>107.1254593</v>
      </c>
      <c r="S6" s="2">
        <v>-0.8</v>
      </c>
      <c r="T6" s="2">
        <v>11.2845471736029</v>
      </c>
      <c r="U6" s="3">
        <f t="shared" si="6"/>
        <v>9.401612561</v>
      </c>
      <c r="V6" s="2">
        <v>-0.8</v>
      </c>
      <c r="W6" s="2">
        <v>-0.125665</v>
      </c>
      <c r="X6" s="2">
        <v>-0.125901</v>
      </c>
    </row>
    <row r="7">
      <c r="A7" s="12">
        <v>-0.25</v>
      </c>
      <c r="B7" s="12">
        <v>-16.0217812703292</v>
      </c>
      <c r="C7" s="12">
        <f t="shared" si="1"/>
        <v>0.1002030062</v>
      </c>
      <c r="D7" s="12">
        <v>-0.25</v>
      </c>
      <c r="E7" s="12">
        <v>-3116.66127644082</v>
      </c>
      <c r="F7" s="12">
        <f t="shared" si="2"/>
        <v>0.1884893412</v>
      </c>
      <c r="G7" s="12">
        <v>-0.25</v>
      </c>
      <c r="H7" s="12">
        <v>-3116.86272934246</v>
      </c>
      <c r="I7" s="12">
        <f t="shared" si="3"/>
        <v>0.1145880684</v>
      </c>
      <c r="J7" s="12">
        <v>-0.25</v>
      </c>
      <c r="K7" s="12">
        <v>0.213474</v>
      </c>
      <c r="L7" s="12">
        <v>0.812566</v>
      </c>
      <c r="M7" s="2">
        <v>-0.7</v>
      </c>
      <c r="N7" s="2">
        <v>-873.200879842419</v>
      </c>
      <c r="O7" s="3">
        <f t="shared" si="4"/>
        <v>51.7442361</v>
      </c>
      <c r="P7" s="2">
        <v>-0.7</v>
      </c>
      <c r="Q7" s="2">
        <v>-873.180252794557</v>
      </c>
      <c r="R7" s="3">
        <f t="shared" si="5"/>
        <v>51.72813481</v>
      </c>
      <c r="S7" s="2">
        <v>-0.7</v>
      </c>
      <c r="T7" s="2">
        <v>8.7833683692014</v>
      </c>
      <c r="U7" s="3">
        <f t="shared" si="6"/>
        <v>6.900433757</v>
      </c>
      <c r="V7" s="2">
        <v>-0.7</v>
      </c>
      <c r="W7" s="2">
        <v>-0.282257</v>
      </c>
      <c r="X7" s="2">
        <v>-0.281923</v>
      </c>
    </row>
    <row r="8">
      <c r="A8" s="12">
        <v>0.0</v>
      </c>
      <c r="B8" s="12">
        <v>-16.121984276572</v>
      </c>
      <c r="C8" s="12">
        <f t="shared" si="1"/>
        <v>0</v>
      </c>
      <c r="D8" s="12">
        <v>0.0</v>
      </c>
      <c r="E8" s="12">
        <v>-3116.66820329641</v>
      </c>
      <c r="F8" s="12">
        <f t="shared" si="2"/>
        <v>0</v>
      </c>
      <c r="G8" s="12">
        <v>0.0</v>
      </c>
      <c r="H8" s="12">
        <v>-3116.86694037634</v>
      </c>
      <c r="I8" s="12">
        <f t="shared" si="3"/>
        <v>0</v>
      </c>
      <c r="J8" s="12">
        <v>0.0</v>
      </c>
      <c r="K8" s="12">
        <v>0.164901</v>
      </c>
      <c r="L8" s="12">
        <v>0.829624</v>
      </c>
      <c r="M8" s="2">
        <v>-0.6</v>
      </c>
      <c r="N8" s="2">
        <v>-874.179846180245</v>
      </c>
      <c r="O8" s="3">
        <f t="shared" si="4"/>
        <v>25.10520521</v>
      </c>
      <c r="P8" s="2">
        <v>-0.6</v>
      </c>
      <c r="Q8" s="2">
        <v>-874.159193857026</v>
      </c>
      <c r="R8" s="3">
        <f t="shared" si="5"/>
        <v>25.08979169</v>
      </c>
      <c r="S8" s="2">
        <v>-0.6</v>
      </c>
      <c r="T8" s="2">
        <v>6.66150275885739</v>
      </c>
      <c r="U8" s="3">
        <f t="shared" si="6"/>
        <v>4.778568147</v>
      </c>
      <c r="V8" s="2">
        <v>-0.6</v>
      </c>
      <c r="W8" s="2">
        <v>-0.167798</v>
      </c>
      <c r="X8" s="2">
        <v>-0.166527</v>
      </c>
    </row>
    <row r="9">
      <c r="A9" s="12">
        <v>0.25</v>
      </c>
      <c r="B9" s="12">
        <v>-16.0336002347645</v>
      </c>
      <c r="C9" s="12">
        <f t="shared" si="1"/>
        <v>0.08838404181</v>
      </c>
      <c r="D9" s="12">
        <v>0.25</v>
      </c>
      <c r="E9" s="12">
        <v>-3116.66685887341</v>
      </c>
      <c r="F9" s="12">
        <f t="shared" si="2"/>
        <v>0.0365836132</v>
      </c>
      <c r="G9" s="12">
        <v>0.25</v>
      </c>
      <c r="H9" s="12">
        <v>-3116.86366108916</v>
      </c>
      <c r="I9" s="12">
        <f t="shared" si="3"/>
        <v>0.08923394927</v>
      </c>
      <c r="J9" s="12">
        <v>0.25</v>
      </c>
      <c r="K9" s="12">
        <v>0.145258</v>
      </c>
      <c r="L9" s="12">
        <v>0.86663</v>
      </c>
      <c r="M9" s="2">
        <v>-0.5</v>
      </c>
      <c r="N9" s="2">
        <v>-874.670163528131</v>
      </c>
      <c r="O9" s="3">
        <f t="shared" si="4"/>
        <v>11.76299059</v>
      </c>
      <c r="P9" s="2">
        <v>-0.5</v>
      </c>
      <c r="Q9" s="2">
        <v>-874.649478889738</v>
      </c>
      <c r="R9" s="3">
        <f t="shared" si="5"/>
        <v>11.74845641</v>
      </c>
      <c r="S9" s="2">
        <v>-0.5</v>
      </c>
      <c r="T9" s="2">
        <v>4.91875682930415</v>
      </c>
      <c r="U9" s="3">
        <f t="shared" si="6"/>
        <v>3.035822217</v>
      </c>
      <c r="V9" s="2">
        <v>-0.5</v>
      </c>
      <c r="W9" s="2">
        <v>-0.020617</v>
      </c>
      <c r="X9" s="2">
        <v>-0.018086</v>
      </c>
    </row>
    <row r="10">
      <c r="A10" s="12">
        <v>0.5</v>
      </c>
      <c r="B10" s="12">
        <v>-15.7558608924679</v>
      </c>
      <c r="C10" s="12">
        <f t="shared" si="1"/>
        <v>0.3661233841</v>
      </c>
      <c r="D10" s="12">
        <v>0.5</v>
      </c>
      <c r="E10" s="12">
        <v>-3116.66388849087</v>
      </c>
      <c r="F10" s="12">
        <f t="shared" si="2"/>
        <v>0.1174118391</v>
      </c>
      <c r="G10" s="12">
        <v>0.5</v>
      </c>
      <c r="H10" s="12">
        <v>-3116.85929296104</v>
      </c>
      <c r="I10" s="12">
        <f t="shared" si="3"/>
        <v>0.2080967696</v>
      </c>
      <c r="J10" s="12">
        <v>0.5</v>
      </c>
      <c r="K10" s="12">
        <v>0.135946</v>
      </c>
      <c r="L10" s="12">
        <v>0.901791</v>
      </c>
      <c r="M10" s="2">
        <v>-0.399999999999999</v>
      </c>
      <c r="N10" s="2">
        <v>-874.917263795169</v>
      </c>
      <c r="O10" s="3">
        <f t="shared" si="4"/>
        <v>5.039049842</v>
      </c>
      <c r="P10" s="2">
        <v>-0.399999999999999</v>
      </c>
      <c r="Q10" s="2">
        <v>-874.896538003612</v>
      </c>
      <c r="R10" s="3">
        <f t="shared" si="5"/>
        <v>5.025635499</v>
      </c>
      <c r="S10" s="2">
        <v>-0.4</v>
      </c>
      <c r="T10" s="2">
        <v>3.55490101558242</v>
      </c>
      <c r="U10" s="3">
        <f t="shared" si="6"/>
        <v>1.671966403</v>
      </c>
      <c r="V10" s="2">
        <v>-0.4</v>
      </c>
      <c r="W10" s="2">
        <v>0.103002</v>
      </c>
      <c r="X10" s="2">
        <v>0.107025</v>
      </c>
    </row>
    <row r="11">
      <c r="A11" s="12">
        <v>0.75</v>
      </c>
      <c r="B11" s="12">
        <v>-15.2883187612463</v>
      </c>
      <c r="C11" s="12">
        <f t="shared" si="1"/>
        <v>0.8336655153</v>
      </c>
      <c r="D11" s="12">
        <v>0.75</v>
      </c>
      <c r="E11" s="12">
        <v>-3116.66120681156</v>
      </c>
      <c r="F11" s="12">
        <f t="shared" si="2"/>
        <v>0.1903840499</v>
      </c>
      <c r="G11" s="12">
        <v>0.75</v>
      </c>
      <c r="H11" s="12">
        <v>-3116.85619590542</v>
      </c>
      <c r="I11" s="12">
        <f t="shared" si="3"/>
        <v>0.2923719456</v>
      </c>
      <c r="J11" s="12">
        <v>0.75</v>
      </c>
      <c r="K11" s="12">
        <v>0.130805</v>
      </c>
      <c r="L11" s="12">
        <v>0.930366</v>
      </c>
      <c r="M11" s="2">
        <v>-0.299999999999999</v>
      </c>
      <c r="N11" s="2">
        <v>-875.037751775081</v>
      </c>
      <c r="O11" s="3">
        <f t="shared" si="4"/>
        <v>1.760404913</v>
      </c>
      <c r="P11" s="2">
        <v>-0.299999999999999</v>
      </c>
      <c r="Q11" s="2">
        <v>-875.016957880948</v>
      </c>
      <c r="R11" s="3">
        <f t="shared" si="5"/>
        <v>1.748843735</v>
      </c>
      <c r="S11" s="2">
        <v>-0.3</v>
      </c>
      <c r="T11" s="2">
        <v>2.56967597297822</v>
      </c>
      <c r="U11" s="3">
        <f t="shared" si="6"/>
        <v>0.6867413608</v>
      </c>
      <c r="V11" s="2">
        <v>-0.3</v>
      </c>
      <c r="W11" s="2">
        <v>0.191776</v>
      </c>
      <c r="X11" s="2">
        <v>0.197649</v>
      </c>
    </row>
    <row r="12">
      <c r="A12" s="12">
        <v>1.0</v>
      </c>
      <c r="B12" s="12">
        <v>-14.6307492763939</v>
      </c>
      <c r="C12" s="12">
        <f t="shared" si="1"/>
        <v>1.491235</v>
      </c>
      <c r="D12" s="12">
        <v>1.0</v>
      </c>
      <c r="E12" s="12">
        <v>-3116.65912550754</v>
      </c>
      <c r="F12" s="12">
        <f t="shared" si="2"/>
        <v>0.247019217</v>
      </c>
      <c r="G12" s="12">
        <v>1.0</v>
      </c>
      <c r="H12" s="12">
        <v>-3116.85413336171</v>
      </c>
      <c r="I12" s="12">
        <f t="shared" si="3"/>
        <v>0.3484966186</v>
      </c>
      <c r="J12" s="12">
        <v>1.0</v>
      </c>
      <c r="K12" s="12">
        <v>0.127451</v>
      </c>
      <c r="L12" s="12">
        <v>0.950998</v>
      </c>
      <c r="M12" s="2">
        <v>-0.199999999999999</v>
      </c>
      <c r="N12" s="2">
        <v>-875.090388916797</v>
      </c>
      <c r="O12" s="3">
        <f t="shared" si="4"/>
        <v>0.3280753314</v>
      </c>
      <c r="P12" s="2">
        <v>-0.199999999999999</v>
      </c>
      <c r="Q12" s="2">
        <v>-875.069489340995</v>
      </c>
      <c r="R12" s="3">
        <f t="shared" si="5"/>
        <v>0.3193898986</v>
      </c>
      <c r="S12" s="2">
        <v>-0.2</v>
      </c>
      <c r="T12" s="2">
        <v>1.96280136412644</v>
      </c>
      <c r="U12" s="3">
        <f t="shared" si="6"/>
        <v>0.07986675193</v>
      </c>
      <c r="V12" s="2">
        <v>-0.2</v>
      </c>
      <c r="W12" s="2">
        <v>0.248473</v>
      </c>
      <c r="X12" s="2">
        <v>0.25665</v>
      </c>
    </row>
    <row r="13">
      <c r="A13" s="12">
        <v>1.25</v>
      </c>
      <c r="B13" s="12">
        <v>-13.7830180923182</v>
      </c>
      <c r="C13" s="12">
        <f t="shared" si="1"/>
        <v>2.338966184</v>
      </c>
      <c r="D13" s="12">
        <v>1.25</v>
      </c>
      <c r="E13" s="12">
        <v>-3116.65755166538</v>
      </c>
      <c r="F13" s="12">
        <f t="shared" si="2"/>
        <v>0.2898456435</v>
      </c>
      <c r="G13" s="12">
        <v>1.25</v>
      </c>
      <c r="H13" s="12">
        <v>-3116.85309866222</v>
      </c>
      <c r="I13" s="12">
        <f t="shared" si="3"/>
        <v>0.3766522258</v>
      </c>
      <c r="J13" s="12">
        <v>1.25</v>
      </c>
      <c r="K13" s="12">
        <v>0.124812</v>
      </c>
      <c r="L13" s="12">
        <v>0.965241</v>
      </c>
      <c r="M13" s="2">
        <v>-0.0999999999999999</v>
      </c>
      <c r="N13" s="2">
        <v>-875.106276987808</v>
      </c>
      <c r="O13" s="3">
        <f t="shared" si="4"/>
        <v>-0.1042611017</v>
      </c>
      <c r="P13" s="2">
        <v>-0.0999999999999999</v>
      </c>
      <c r="Q13" s="2">
        <v>-875.085235036052</v>
      </c>
      <c r="R13" s="3">
        <f t="shared" si="5"/>
        <v>-0.1090722874</v>
      </c>
      <c r="S13" s="2">
        <v>-0.1</v>
      </c>
      <c r="T13" s="2">
        <v>1.73398548795341</v>
      </c>
      <c r="U13" s="3">
        <f t="shared" si="6"/>
        <v>-0.1489491242</v>
      </c>
      <c r="V13" s="2">
        <v>-0.1</v>
      </c>
      <c r="W13" s="2">
        <v>0.280909</v>
      </c>
      <c r="X13" s="2">
        <v>0.291809</v>
      </c>
    </row>
    <row r="14">
      <c r="A14" s="12">
        <v>1.5</v>
      </c>
      <c r="B14" s="12">
        <v>-12.7450039123627</v>
      </c>
      <c r="C14" s="12">
        <f t="shared" si="1"/>
        <v>3.376980364</v>
      </c>
      <c r="D14" s="12">
        <v>1.5</v>
      </c>
      <c r="E14" s="12">
        <v>-3116.65637353347</v>
      </c>
      <c r="F14" s="12">
        <f t="shared" si="2"/>
        <v>0.3219042457</v>
      </c>
      <c r="G14" s="12">
        <v>1.5</v>
      </c>
      <c r="H14" s="12">
        <v>-3116.85242166721</v>
      </c>
      <c r="I14" s="12">
        <f t="shared" si="3"/>
        <v>0.3950741984</v>
      </c>
      <c r="J14" s="12">
        <v>1.5</v>
      </c>
      <c r="K14" s="12">
        <v>0.12266</v>
      </c>
      <c r="L14" s="12">
        <v>0.974535</v>
      </c>
      <c r="M14" s="2">
        <v>0.0</v>
      </c>
      <c r="N14" s="2">
        <v>-875.102445462958</v>
      </c>
      <c r="O14" s="3">
        <f t="shared" si="4"/>
        <v>0</v>
      </c>
      <c r="P14" s="2">
        <v>0.0</v>
      </c>
      <c r="Q14" s="2">
        <v>-875.081226703386</v>
      </c>
      <c r="R14" s="3">
        <f t="shared" si="5"/>
        <v>0</v>
      </c>
      <c r="S14" s="2">
        <v>0.0</v>
      </c>
      <c r="T14" s="2">
        <v>1.88293461219954</v>
      </c>
      <c r="U14" s="3">
        <f t="shared" si="6"/>
        <v>0</v>
      </c>
      <c r="V14" s="2">
        <v>0.0</v>
      </c>
      <c r="W14" s="2">
        <v>0.296354</v>
      </c>
      <c r="X14" s="2">
        <v>0.310338</v>
      </c>
    </row>
    <row r="15">
      <c r="A15" s="12">
        <v>1.75</v>
      </c>
      <c r="B15" s="12">
        <v>-11.516583675259</v>
      </c>
      <c r="C15" s="12">
        <f t="shared" si="1"/>
        <v>4.605400601</v>
      </c>
      <c r="D15" s="12">
        <v>1.75</v>
      </c>
      <c r="E15" s="12">
        <v>-3116.65550630398</v>
      </c>
      <c r="F15" s="12">
        <f t="shared" si="2"/>
        <v>0.3455027621</v>
      </c>
      <c r="G15" s="12">
        <v>1.75</v>
      </c>
      <c r="H15" s="12">
        <v>-3116.85188714231</v>
      </c>
      <c r="I15" s="12">
        <f t="shared" si="3"/>
        <v>0.4096193617</v>
      </c>
      <c r="J15" s="12">
        <v>1.75</v>
      </c>
      <c r="K15" s="12">
        <v>0.121072</v>
      </c>
      <c r="L15" s="12">
        <v>0.980814</v>
      </c>
      <c r="M15" s="2">
        <v>0.1</v>
      </c>
      <c r="N15" s="2">
        <v>-875.088347468803</v>
      </c>
      <c r="O15" s="3">
        <f t="shared" si="4"/>
        <v>0.3836259608</v>
      </c>
      <c r="P15" s="2">
        <v>0.1</v>
      </c>
      <c r="Q15" s="2">
        <v>-875.06692685758</v>
      </c>
      <c r="R15" s="3">
        <f t="shared" si="5"/>
        <v>0.389118624</v>
      </c>
      <c r="S15" s="2">
        <v>0.0999999999999996</v>
      </c>
      <c r="T15" s="2">
        <v>2.40936127027245</v>
      </c>
      <c r="U15" s="3">
        <f t="shared" si="6"/>
        <v>0.5264266581</v>
      </c>
      <c r="V15" s="2">
        <v>0.0999999999999996</v>
      </c>
      <c r="W15" s="2">
        <v>0.300116</v>
      </c>
      <c r="X15" s="2">
        <v>0.317418</v>
      </c>
    </row>
    <row r="16">
      <c r="A16" s="12">
        <v>2.0</v>
      </c>
      <c r="B16" s="12">
        <v>-10.0976473147791</v>
      </c>
      <c r="C16" s="12">
        <f t="shared" si="1"/>
        <v>6.024336962</v>
      </c>
      <c r="D16" s="12">
        <v>2.0</v>
      </c>
      <c r="E16" s="12">
        <v>-3116.65488940562</v>
      </c>
      <c r="F16" s="12">
        <f t="shared" si="2"/>
        <v>0.3622894214</v>
      </c>
      <c r="G16" s="12">
        <v>2.0</v>
      </c>
      <c r="H16" s="12">
        <v>-3116.85152489954</v>
      </c>
      <c r="I16" s="12">
        <f t="shared" si="3"/>
        <v>0.4194764896</v>
      </c>
      <c r="J16" s="12">
        <v>2.0</v>
      </c>
      <c r="K16" s="12">
        <v>0.120161</v>
      </c>
      <c r="L16" s="12">
        <v>0.985192</v>
      </c>
      <c r="M16" s="2">
        <v>0.2</v>
      </c>
      <c r="N16" s="2">
        <v>-875.069279043076</v>
      </c>
      <c r="O16" s="3">
        <f t="shared" si="4"/>
        <v>0.9025042536</v>
      </c>
      <c r="P16" s="2">
        <v>0.2</v>
      </c>
      <c r="Q16" s="2">
        <v>-875.047642035206</v>
      </c>
      <c r="R16" s="3">
        <f t="shared" si="5"/>
        <v>0.9138853695</v>
      </c>
      <c r="S16" s="2">
        <v>0.199999999999999</v>
      </c>
      <c r="T16" s="2">
        <v>3.31299109915707</v>
      </c>
      <c r="U16" s="3">
        <f t="shared" si="6"/>
        <v>1.430056487</v>
      </c>
      <c r="V16" s="2">
        <v>0.199999999999999</v>
      </c>
      <c r="W16" s="2">
        <v>0.295989</v>
      </c>
      <c r="X16" s="2">
        <v>0.316735</v>
      </c>
    </row>
    <row r="17">
      <c r="A17" s="12">
        <v>2.25</v>
      </c>
      <c r="B17" s="12">
        <v>-8.48811426177152</v>
      </c>
      <c r="C17" s="12">
        <f t="shared" si="1"/>
        <v>7.633870015</v>
      </c>
      <c r="D17" s="12">
        <v>2.25</v>
      </c>
      <c r="E17" s="12">
        <v>-3116.65445841285</v>
      </c>
      <c r="F17" s="12">
        <f t="shared" si="2"/>
        <v>0.3740173321</v>
      </c>
      <c r="G17" s="12">
        <v>2.25</v>
      </c>
      <c r="H17" s="12">
        <v>-3116.85128978829</v>
      </c>
      <c r="I17" s="12">
        <f t="shared" si="3"/>
        <v>0.4258741926</v>
      </c>
      <c r="J17" s="12">
        <v>2.25</v>
      </c>
      <c r="K17" s="12">
        <v>0.119853</v>
      </c>
      <c r="L17" s="12">
        <v>0.988359</v>
      </c>
      <c r="M17" s="2">
        <v>0.3</v>
      </c>
      <c r="N17" s="2">
        <v>-875.048249903748</v>
      </c>
      <c r="O17" s="3">
        <f t="shared" si="4"/>
        <v>1.474736281</v>
      </c>
      <c r="P17" s="2">
        <v>0.3</v>
      </c>
      <c r="Q17" s="2">
        <v>-875.026387953273</v>
      </c>
      <c r="R17" s="3">
        <f t="shared" si="5"/>
        <v>1.492238397</v>
      </c>
      <c r="S17" s="2">
        <v>0.299999999999999</v>
      </c>
      <c r="T17" s="2">
        <v>4.59356804502043</v>
      </c>
      <c r="U17" s="3">
        <f t="shared" si="6"/>
        <v>2.710633433</v>
      </c>
      <c r="V17" s="2">
        <v>0.299999999999999</v>
      </c>
      <c r="W17" s="2">
        <v>0.286639</v>
      </c>
      <c r="X17" s="2">
        <v>0.310836</v>
      </c>
    </row>
    <row r="18">
      <c r="A18" s="12">
        <v>2.5</v>
      </c>
      <c r="B18" s="12">
        <v>-6.68794093860344</v>
      </c>
      <c r="C18" s="12">
        <f t="shared" si="1"/>
        <v>9.434043338</v>
      </c>
      <c r="D18" s="12">
        <v>2.5</v>
      </c>
      <c r="E18" s="12">
        <v>-3116.65414580849</v>
      </c>
      <c r="F18" s="12">
        <f t="shared" si="2"/>
        <v>0.38252373</v>
      </c>
      <c r="G18" s="12">
        <v>2.5</v>
      </c>
      <c r="H18" s="12">
        <v>-3116.85112427926</v>
      </c>
      <c r="I18" s="12">
        <f t="shared" si="3"/>
        <v>0.4303779227</v>
      </c>
      <c r="J18" s="12">
        <v>2.5</v>
      </c>
      <c r="K18" s="12">
        <v>0.120178</v>
      </c>
      <c r="L18" s="12">
        <v>0.990795</v>
      </c>
      <c r="M18" s="2">
        <v>0.4</v>
      </c>
      <c r="N18" s="2">
        <v>-875.026982758628</v>
      </c>
      <c r="O18" s="3">
        <f t="shared" si="4"/>
        <v>2.053444776</v>
      </c>
      <c r="P18" s="2">
        <v>0.4</v>
      </c>
      <c r="Q18" s="2">
        <v>-875.004898928151</v>
      </c>
      <c r="R18" s="3">
        <f t="shared" si="5"/>
        <v>2.076984554</v>
      </c>
      <c r="S18" s="2">
        <v>0.399999999999999</v>
      </c>
      <c r="T18" s="2">
        <v>6.25085795081757</v>
      </c>
      <c r="U18" s="3">
        <f t="shared" si="6"/>
        <v>4.367923339</v>
      </c>
      <c r="V18" s="2">
        <v>0.399999999999999</v>
      </c>
      <c r="W18" s="2">
        <v>0.273817</v>
      </c>
      <c r="X18" s="2">
        <v>0.301351</v>
      </c>
    </row>
    <row r="19">
      <c r="A19" s="12">
        <v>2.75</v>
      </c>
      <c r="B19" s="12">
        <v>-4.69711953704983</v>
      </c>
      <c r="C19" s="12">
        <f t="shared" si="1"/>
        <v>11.42486474</v>
      </c>
      <c r="D19" s="12">
        <v>2.75</v>
      </c>
      <c r="E19" s="12">
        <v>-3116.65391607191</v>
      </c>
      <c r="F19" s="12">
        <f t="shared" si="2"/>
        <v>0.3887751807</v>
      </c>
      <c r="G19" s="12">
        <v>2.75</v>
      </c>
      <c r="H19" s="12">
        <v>-3116.85100546889</v>
      </c>
      <c r="I19" s="12">
        <f t="shared" si="3"/>
        <v>0.4336109175</v>
      </c>
      <c r="J19" s="12">
        <v>2.75</v>
      </c>
      <c r="K19" s="12">
        <v>0.120953</v>
      </c>
      <c r="L19" s="12">
        <v>0.992756</v>
      </c>
      <c r="M19" s="2">
        <v>0.5</v>
      </c>
      <c r="N19" s="2">
        <v>-875.006461015994</v>
      </c>
      <c r="O19" s="3">
        <f t="shared" si="4"/>
        <v>2.611869836</v>
      </c>
      <c r="P19" s="2">
        <v>0.5</v>
      </c>
      <c r="Q19" s="2">
        <v>-874.984166491941</v>
      </c>
      <c r="R19" s="3">
        <f t="shared" si="5"/>
        <v>2.641142879</v>
      </c>
      <c r="S19" s="2">
        <v>0.499999999999999</v>
      </c>
      <c r="T19" s="2">
        <v>8.28465066838425</v>
      </c>
      <c r="U19" s="3">
        <f t="shared" si="6"/>
        <v>6.401716056</v>
      </c>
      <c r="V19" s="2">
        <v>0.499999999999999</v>
      </c>
      <c r="W19" s="2">
        <v>0.258666</v>
      </c>
      <c r="X19" s="2">
        <v>0.289302</v>
      </c>
    </row>
    <row r="20">
      <c r="A20" s="12">
        <v>3.0</v>
      </c>
      <c r="B20" s="12">
        <v>-2.51567183481363</v>
      </c>
      <c r="C20" s="12">
        <f t="shared" si="1"/>
        <v>13.60631244</v>
      </c>
      <c r="D20" s="12">
        <v>3.0</v>
      </c>
      <c r="E20" s="12">
        <v>-3116.65373675153</v>
      </c>
      <c r="F20" s="12">
        <f t="shared" si="2"/>
        <v>0.3936547368</v>
      </c>
      <c r="G20" s="12">
        <v>3.0</v>
      </c>
      <c r="H20" s="12">
        <v>-3116.85090659186</v>
      </c>
      <c r="I20" s="12">
        <f t="shared" si="3"/>
        <v>0.4363014985</v>
      </c>
      <c r="J20" s="12">
        <v>3.0</v>
      </c>
      <c r="K20" s="12">
        <v>0.122102</v>
      </c>
      <c r="L20" s="12">
        <v>0.994386</v>
      </c>
      <c r="M20" s="2">
        <v>0.6</v>
      </c>
      <c r="N20" s="2">
        <v>-874.987213249251</v>
      </c>
      <c r="O20" s="3">
        <f t="shared" si="4"/>
        <v>3.135628247</v>
      </c>
      <c r="P20" s="2">
        <v>0.6</v>
      </c>
      <c r="Q20" s="2">
        <v>-874.964726169247</v>
      </c>
      <c r="R20" s="3">
        <f t="shared" si="5"/>
        <v>3.170141004</v>
      </c>
      <c r="S20" s="2">
        <v>0.599999999999999</v>
      </c>
      <c r="T20" s="2">
        <v>10.6947609124138</v>
      </c>
      <c r="U20" s="3">
        <f t="shared" si="6"/>
        <v>8.8118263</v>
      </c>
      <c r="V20" s="2">
        <v>0.599999999999999</v>
      </c>
      <c r="W20" s="2">
        <v>0.242101</v>
      </c>
      <c r="X20" s="2">
        <v>0.275351</v>
      </c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>
        <v>0.7</v>
      </c>
      <c r="N21" s="2">
        <v>-874.969479345332</v>
      </c>
      <c r="O21" s="3">
        <f t="shared" si="4"/>
        <v>3.618192352</v>
      </c>
      <c r="P21" s="2">
        <v>0.7</v>
      </c>
      <c r="Q21" s="2">
        <v>-874.946821892245</v>
      </c>
      <c r="R21" s="3">
        <f t="shared" si="5"/>
        <v>3.657341196</v>
      </c>
      <c r="S21" s="2">
        <v>0.699999999999999</v>
      </c>
      <c r="T21" s="2">
        <v>13.4810281051291</v>
      </c>
      <c r="U21" s="3">
        <f t="shared" si="6"/>
        <v>11.59809349</v>
      </c>
      <c r="V21" s="2">
        <v>0.699999999999999</v>
      </c>
      <c r="W21" s="2">
        <v>0.225031</v>
      </c>
      <c r="X21" s="2">
        <v>0.260339</v>
      </c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0.8</v>
      </c>
      <c r="N22" s="2">
        <v>-874.953328499457</v>
      </c>
      <c r="O22" s="3">
        <f t="shared" si="4"/>
        <v>4.057679253</v>
      </c>
      <c r="P22" s="2">
        <v>0.8</v>
      </c>
      <c r="Q22" s="2">
        <v>-874.930518647112</v>
      </c>
      <c r="R22" s="3">
        <f t="shared" si="5"/>
        <v>4.100975093</v>
      </c>
      <c r="S22" s="2">
        <v>0.799999999999999</v>
      </c>
      <c r="T22" s="2">
        <v>16.6433154598754</v>
      </c>
      <c r="U22" s="3">
        <f t="shared" si="6"/>
        <v>14.76038085</v>
      </c>
      <c r="V22" s="2">
        <v>0.799999999999999</v>
      </c>
      <c r="W22" s="2">
        <v>0.208309</v>
      </c>
      <c r="X22" s="2">
        <v>0.245085</v>
      </c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>
        <v>0.9</v>
      </c>
      <c r="N23" s="2">
        <v>-874.938729576605</v>
      </c>
      <c r="O23" s="3">
        <f t="shared" si="4"/>
        <v>4.454936178</v>
      </c>
      <c r="P23" s="2">
        <v>0.9</v>
      </c>
      <c r="Q23" s="2">
        <v>-874.915783652436</v>
      </c>
      <c r="R23" s="3">
        <f t="shared" si="5"/>
        <v>4.50193472</v>
      </c>
      <c r="S23" s="2">
        <v>0.899999999999999</v>
      </c>
      <c r="T23" s="2">
        <v>20.1815085305047</v>
      </c>
      <c r="U23" s="3">
        <f t="shared" si="6"/>
        <v>18.29857392</v>
      </c>
      <c r="V23" s="2">
        <v>0.899999999999999</v>
      </c>
      <c r="W23" s="2">
        <v>0.192609</v>
      </c>
      <c r="X23" s="2">
        <v>0.230181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>
        <v>1.0</v>
      </c>
      <c r="N24" s="2">
        <v>-874.92560821492</v>
      </c>
      <c r="O24" s="3">
        <f t="shared" si="4"/>
        <v>4.811986616</v>
      </c>
      <c r="P24" s="2">
        <v>1.0</v>
      </c>
      <c r="Q24" s="2">
        <v>-874.902536436765</v>
      </c>
      <c r="R24" s="3">
        <f t="shared" si="5"/>
        <v>4.862409819</v>
      </c>
      <c r="S24" s="2">
        <v>0.999999999999999</v>
      </c>
      <c r="T24" s="2">
        <v>24.0955134208006</v>
      </c>
      <c r="U24" s="3">
        <f t="shared" si="6"/>
        <v>22.21257881</v>
      </c>
      <c r="V24" s="2">
        <v>0.999999999999999</v>
      </c>
      <c r="W24" s="2">
        <v>0.178356</v>
      </c>
      <c r="X24" s="2">
        <v>0.216031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v>1.1</v>
      </c>
      <c r="N25" s="2">
        <v>-874.913866333196</v>
      </c>
      <c r="O25" s="3">
        <f t="shared" si="4"/>
        <v>5.131499491</v>
      </c>
      <c r="P25" s="2">
        <v>1.1</v>
      </c>
      <c r="Q25" s="2">
        <v>-874.890674035316</v>
      </c>
      <c r="R25" s="3">
        <f t="shared" si="5"/>
        <v>5.185202204</v>
      </c>
      <c r="S25" s="2">
        <v>1.09999999999999</v>
      </c>
      <c r="T25" s="2">
        <v>28.3852548115023</v>
      </c>
      <c r="U25" s="3">
        <f t="shared" si="6"/>
        <v>26.5023202</v>
      </c>
      <c r="V25" s="2">
        <v>1.09999999999999</v>
      </c>
      <c r="W25" s="2">
        <v>0.165736</v>
      </c>
      <c r="X25" s="2">
        <v>0.202907</v>
      </c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1.2</v>
      </c>
      <c r="N26" s="2">
        <v>-874.903389444423</v>
      </c>
      <c r="O26" s="3">
        <f t="shared" si="4"/>
        <v>5.416590156</v>
      </c>
      <c r="P26" s="2">
        <v>1.2</v>
      </c>
      <c r="Q26" s="2">
        <v>-874.880083187369</v>
      </c>
      <c r="R26" s="3">
        <f t="shared" si="5"/>
        <v>5.473393856</v>
      </c>
      <c r="S26" s="2">
        <v>1.19999999999999</v>
      </c>
      <c r="T26" s="2">
        <v>33.0506739265523</v>
      </c>
      <c r="U26" s="3">
        <f t="shared" si="6"/>
        <v>31.16773931</v>
      </c>
      <c r="V26" s="2">
        <v>1.19999999999999</v>
      </c>
      <c r="W26" s="2">
        <v>0.154741</v>
      </c>
      <c r="X26" s="2">
        <v>0.190991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v>1.3</v>
      </c>
      <c r="N27" s="2">
        <v>-874.894068596918</v>
      </c>
      <c r="O27" s="3">
        <f t="shared" si="4"/>
        <v>5.670223335</v>
      </c>
      <c r="P27" s="2">
        <v>1.3</v>
      </c>
      <c r="Q27" s="2">
        <v>-874.87064894731</v>
      </c>
      <c r="R27" s="3">
        <f t="shared" si="5"/>
        <v>5.730112604</v>
      </c>
      <c r="S27" s="2">
        <v>1.29999999999999</v>
      </c>
      <c r="T27" s="2">
        <v>38.0917265278596</v>
      </c>
      <c r="U27" s="3">
        <f t="shared" si="6"/>
        <v>36.20879192</v>
      </c>
      <c r="V27" s="2">
        <v>1.29999999999999</v>
      </c>
      <c r="W27" s="2">
        <v>0.145192</v>
      </c>
      <c r="X27" s="2">
        <v>0.180057</v>
      </c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v>1.4</v>
      </c>
      <c r="N28" s="2">
        <v>-874.885825919251</v>
      </c>
      <c r="O28" s="3">
        <f t="shared" si="4"/>
        <v>5.894518019</v>
      </c>
      <c r="P28" s="2">
        <v>1.4</v>
      </c>
      <c r="Q28" s="2">
        <v>-874.862267456056</v>
      </c>
      <c r="R28" s="3">
        <f t="shared" si="5"/>
        <v>5.958184597</v>
      </c>
      <c r="S28" s="2">
        <v>1.39999999999999</v>
      </c>
      <c r="T28" s="2">
        <v>43.5083810004778</v>
      </c>
      <c r="U28" s="3">
        <f t="shared" si="6"/>
        <v>41.62544639</v>
      </c>
      <c r="V28" s="2">
        <v>1.39999999999999</v>
      </c>
      <c r="W28" s="2">
        <v>0.136514</v>
      </c>
      <c r="X28" s="2">
        <v>0.165208</v>
      </c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>
        <v>1.5</v>
      </c>
      <c r="N29" s="2">
        <v>-874.878719205027</v>
      </c>
      <c r="O29" s="3">
        <f t="shared" si="4"/>
        <v>6.087901563</v>
      </c>
      <c r="P29" s="2">
        <v>1.5</v>
      </c>
      <c r="Q29" s="2">
        <v>-874.854876368873</v>
      </c>
      <c r="R29" s="3">
        <f t="shared" si="5"/>
        <v>6.159306324</v>
      </c>
      <c r="S29" s="2">
        <v>1.49999999999999</v>
      </c>
      <c r="T29" s="2">
        <v>49.3006165679736</v>
      </c>
      <c r="U29" s="3">
        <f t="shared" si="6"/>
        <v>47.41768196</v>
      </c>
      <c r="V29" s="2">
        <v>1.49999999999999</v>
      </c>
      <c r="W29" s="2">
        <v>0.127175</v>
      </c>
      <c r="X29" s="2">
        <v>0.141893</v>
      </c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>
        <v>1.6</v>
      </c>
      <c r="N30" s="2">
        <v>-874.87268641143</v>
      </c>
      <c r="O30" s="3">
        <f t="shared" si="4"/>
        <v>6.252062238</v>
      </c>
      <c r="P30" s="2">
        <v>1.6</v>
      </c>
      <c r="Q30" s="2">
        <v>-874.848438687407</v>
      </c>
      <c r="R30" s="3">
        <f t="shared" si="5"/>
        <v>6.334484559</v>
      </c>
      <c r="S30" s="2">
        <v>1.59999999999999</v>
      </c>
      <c r="T30" s="2">
        <v>55.4684216606099</v>
      </c>
      <c r="U30" s="3">
        <f t="shared" si="6"/>
        <v>53.58548705</v>
      </c>
      <c r="V30" s="2">
        <v>1.59999999999999</v>
      </c>
      <c r="W30" s="2">
        <v>0.117544</v>
      </c>
      <c r="X30" s="2">
        <v>0.120137</v>
      </c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>
        <v>1.7</v>
      </c>
      <c r="N31" s="2">
        <v>-874.867549858255</v>
      </c>
      <c r="O31" s="3">
        <f t="shared" si="4"/>
        <v>6.391834969</v>
      </c>
      <c r="P31" s="2">
        <v>1.7</v>
      </c>
      <c r="Q31" s="2">
        <v>-874.842860512878</v>
      </c>
      <c r="R31" s="3">
        <f t="shared" si="5"/>
        <v>6.486274419</v>
      </c>
      <c r="S31" s="2">
        <v>1.69999999999999</v>
      </c>
      <c r="T31" s="2">
        <v>62.0117924461834</v>
      </c>
      <c r="U31" s="3">
        <f t="shared" si="6"/>
        <v>60.12885783</v>
      </c>
      <c r="V31" s="2">
        <v>1.69999999999999</v>
      </c>
      <c r="W31" s="2">
        <v>0.108884</v>
      </c>
      <c r="X31" s="2">
        <v>0.101588</v>
      </c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>
        <v>1.8</v>
      </c>
      <c r="N32" s="2">
        <v>-874.863172350631</v>
      </c>
      <c r="O32" s="3">
        <f t="shared" si="4"/>
        <v>6.510953019</v>
      </c>
      <c r="P32" s="2">
        <v>1.8</v>
      </c>
      <c r="Q32" s="2">
        <v>-874.838028078433</v>
      </c>
      <c r="R32" s="3">
        <f t="shared" si="5"/>
        <v>6.617771658</v>
      </c>
      <c r="S32" s="2">
        <v>1.79999999999999</v>
      </c>
      <c r="T32" s="2">
        <v>68.9307315242089</v>
      </c>
      <c r="U32" s="3">
        <f t="shared" si="6"/>
        <v>67.04779691</v>
      </c>
      <c r="V32" s="2">
        <v>1.79999999999999</v>
      </c>
      <c r="W32" s="2">
        <v>0.101332</v>
      </c>
      <c r="X32" s="2">
        <v>0.085965</v>
      </c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>
        <v>1.9</v>
      </c>
      <c r="N33" s="2">
        <v>-874.859419359531</v>
      </c>
      <c r="O33" s="3">
        <f t="shared" si="4"/>
        <v>6.613077108</v>
      </c>
      <c r="P33" s="2">
        <v>1.9</v>
      </c>
      <c r="Q33" s="2">
        <v>-874.833837644489</v>
      </c>
      <c r="R33" s="3">
        <f t="shared" si="5"/>
        <v>6.731799174</v>
      </c>
      <c r="S33" s="2">
        <v>1.89999999999999</v>
      </c>
      <c r="T33" s="2">
        <v>76.2252467779028</v>
      </c>
      <c r="U33" s="3">
        <f t="shared" si="6"/>
        <v>74.34231217</v>
      </c>
      <c r="V33" s="2">
        <v>1.89999999999999</v>
      </c>
      <c r="W33" s="2">
        <v>0.094754</v>
      </c>
      <c r="X33" s="2">
        <v>0.072896</v>
      </c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>
        <v>2.0</v>
      </c>
      <c r="N34" s="2">
        <v>-874.856205007127</v>
      </c>
      <c r="O34" s="3">
        <f t="shared" si="4"/>
        <v>6.700544092</v>
      </c>
      <c r="P34" s="2">
        <v>2.0</v>
      </c>
      <c r="Q34" s="2">
        <v>-874.830199492721</v>
      </c>
      <c r="R34" s="3">
        <f t="shared" si="5"/>
        <v>6.830798326</v>
      </c>
      <c r="S34" s="2">
        <v>1.99999999999999</v>
      </c>
      <c r="T34" s="2">
        <v>83.8953503744288</v>
      </c>
      <c r="U34" s="3">
        <f t="shared" si="6"/>
        <v>82.01241576</v>
      </c>
      <c r="V34" s="2">
        <v>1.99999999999999</v>
      </c>
      <c r="W34" s="2">
        <v>0.088988</v>
      </c>
      <c r="X34" s="2">
        <v>0.061688</v>
      </c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>
        <v>2.1</v>
      </c>
      <c r="N35" s="2">
        <v>-874.853437288997</v>
      </c>
      <c r="O35" s="3">
        <f t="shared" si="4"/>
        <v>6.775857539</v>
      </c>
      <c r="P35" s="2">
        <v>2.1</v>
      </c>
      <c r="Q35" s="2">
        <v>-874.82703706754</v>
      </c>
      <c r="R35" s="3">
        <f t="shared" si="5"/>
        <v>6.916852298</v>
      </c>
      <c r="S35" s="2">
        <v>2.09999999999999</v>
      </c>
      <c r="T35" s="2">
        <v>91.9410579015602</v>
      </c>
      <c r="U35" s="3">
        <f t="shared" si="6"/>
        <v>90.05812329</v>
      </c>
      <c r="V35" s="2">
        <v>2.09999999999999</v>
      </c>
      <c r="W35" s="2">
        <v>0.083892</v>
      </c>
      <c r="X35" s="2">
        <v>0.052645</v>
      </c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>
        <v>2.2</v>
      </c>
      <c r="N36" s="2">
        <v>-874.851054652921</v>
      </c>
      <c r="O36" s="3">
        <f t="shared" si="4"/>
        <v>6.840692369</v>
      </c>
      <c r="P36" s="2">
        <v>2.2</v>
      </c>
      <c r="Q36" s="2">
        <v>-874.824285643452</v>
      </c>
      <c r="R36" s="3">
        <f t="shared" si="5"/>
        <v>6.991722361</v>
      </c>
      <c r="S36" s="2">
        <v>2.19999999999999</v>
      </c>
      <c r="T36" s="2">
        <v>100.362387627832</v>
      </c>
      <c r="U36" s="3">
        <f t="shared" si="6"/>
        <v>98.47945302</v>
      </c>
      <c r="V36" s="2">
        <v>2.19999999999999</v>
      </c>
      <c r="W36" s="2">
        <v>0.079351</v>
      </c>
      <c r="X36" s="2">
        <v>0.045498</v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>
        <v>2.3</v>
      </c>
      <c r="N37" s="2">
        <v>-874.848993160954</v>
      </c>
      <c r="O37" s="3">
        <f t="shared" si="4"/>
        <v>6.896788422</v>
      </c>
      <c r="P37" s="2">
        <v>2.3</v>
      </c>
      <c r="Q37" s="2">
        <v>-874.821890192343</v>
      </c>
      <c r="R37" s="3">
        <f t="shared" si="5"/>
        <v>7.056905906</v>
      </c>
      <c r="S37" s="2">
        <v>2.29999999999999</v>
      </c>
      <c r="T37" s="2">
        <v>109.159359873027</v>
      </c>
      <c r="U37" s="3">
        <f t="shared" si="6"/>
        <v>107.2764253</v>
      </c>
      <c r="V37" s="2">
        <v>2.29999999999999</v>
      </c>
      <c r="W37" s="2">
        <v>0.075268</v>
      </c>
      <c r="X37" s="2">
        <v>0.039853</v>
      </c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>
        <v>2.4</v>
      </c>
      <c r="N38" s="2">
        <v>-874.847210190614</v>
      </c>
      <c r="O38" s="3">
        <f t="shared" si="4"/>
        <v>6.945305517</v>
      </c>
      <c r="P38" s="2">
        <v>2.4</v>
      </c>
      <c r="Q38" s="2">
        <v>-874.819803735786</v>
      </c>
      <c r="R38" s="3">
        <f t="shared" si="5"/>
        <v>7.113681281</v>
      </c>
      <c r="S38" s="2">
        <v>2.39999999999999</v>
      </c>
      <c r="T38" s="2">
        <v>118.331996476195</v>
      </c>
      <c r="U38" s="3">
        <f t="shared" si="6"/>
        <v>116.4490619</v>
      </c>
      <c r="V38" s="2">
        <v>2.39999999999999</v>
      </c>
      <c r="W38" s="2">
        <v>0.07156</v>
      </c>
      <c r="X38" s="2">
        <v>0.035687</v>
      </c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>
        <v>2.5</v>
      </c>
      <c r="N39" s="2">
        <v>-874.845655519081</v>
      </c>
      <c r="O39" s="3">
        <f t="shared" si="4"/>
        <v>6.987610284</v>
      </c>
      <c r="P39" s="2">
        <v>2.5</v>
      </c>
      <c r="Q39" s="2">
        <v>-874.817986506051</v>
      </c>
      <c r="R39" s="3">
        <f t="shared" si="5"/>
        <v>7.16313062</v>
      </c>
      <c r="S39" s="2">
        <v>2.49999999999999</v>
      </c>
      <c r="T39" s="2">
        <v>127.880320349115</v>
      </c>
      <c r="U39" s="3">
        <f t="shared" si="6"/>
        <v>125.9973857</v>
      </c>
      <c r="V39" s="2">
        <v>2.49999999999999</v>
      </c>
      <c r="W39" s="2">
        <v>0.068174</v>
      </c>
      <c r="X39" s="2">
        <v>0.033105</v>
      </c>
    </row>
    <row r="40">
      <c r="V40" s="2">
        <v>2.5</v>
      </c>
      <c r="W40" s="2">
        <v>0.089289</v>
      </c>
      <c r="X40" s="2">
        <v>0.033103</v>
      </c>
    </row>
    <row r="41">
      <c r="V41" s="2">
        <v>3.0</v>
      </c>
      <c r="W41" s="2">
        <v>0.056864</v>
      </c>
      <c r="X41" s="2">
        <v>0.029394</v>
      </c>
    </row>
    <row r="42">
      <c r="V42" s="2">
        <v>3.5</v>
      </c>
      <c r="W42" s="2">
        <v>0.046761</v>
      </c>
      <c r="X42" s="2">
        <v>0.028855</v>
      </c>
    </row>
    <row r="43">
      <c r="V43" s="2">
        <v>4.0</v>
      </c>
      <c r="W43" s="2">
        <v>0.038573</v>
      </c>
      <c r="X43" s="2">
        <v>0.028687</v>
      </c>
    </row>
    <row r="44">
      <c r="V44" s="2">
        <v>4.5</v>
      </c>
      <c r="W44" s="2">
        <v>0.03182</v>
      </c>
      <c r="X44" s="2">
        <v>0.028421</v>
      </c>
    </row>
    <row r="45">
      <c r="V45" s="2">
        <v>5.0</v>
      </c>
      <c r="W45" s="2">
        <v>0.026295</v>
      </c>
      <c r="X45" s="2">
        <v>0.028108</v>
      </c>
    </row>
    <row r="46">
      <c r="V46" s="2">
        <v>5.5</v>
      </c>
      <c r="W46" s="2">
        <v>0.021792</v>
      </c>
      <c r="X46" s="2">
        <v>0.027821</v>
      </c>
    </row>
    <row r="47">
      <c r="V47" s="2">
        <v>6.0</v>
      </c>
      <c r="W47" s="2">
        <v>0.018086</v>
      </c>
      <c r="X47" s="2">
        <v>0.027579</v>
      </c>
    </row>
    <row r="48">
      <c r="V48" s="2">
        <v>6.5</v>
      </c>
      <c r="W48" s="2">
        <v>0.015001</v>
      </c>
      <c r="X48" s="2">
        <v>0.027378</v>
      </c>
    </row>
    <row r="49">
      <c r="V49" s="2">
        <v>7.0</v>
      </c>
      <c r="W49" s="2">
        <v>0.012407</v>
      </c>
      <c r="X49" s="2">
        <v>0.027213</v>
      </c>
    </row>
    <row r="50">
      <c r="V50" s="2">
        <v>7.5</v>
      </c>
      <c r="W50" s="2">
        <v>0.010198</v>
      </c>
      <c r="X50" s="2">
        <v>0.027074</v>
      </c>
    </row>
    <row r="51">
      <c r="V51" s="2">
        <v>8.0</v>
      </c>
      <c r="W51" s="2">
        <v>0.008314</v>
      </c>
      <c r="X51" s="2">
        <v>0.026957</v>
      </c>
    </row>
    <row r="52">
      <c r="V52" s="2">
        <v>8.5</v>
      </c>
      <c r="W52" s="2">
        <v>0.006692</v>
      </c>
      <c r="X52" s="2">
        <v>0.02686</v>
      </c>
    </row>
    <row r="53">
      <c r="V53" s="2">
        <v>9.0</v>
      </c>
      <c r="W53" s="2">
        <v>0.005278</v>
      </c>
      <c r="X53" s="2">
        <v>0.026776</v>
      </c>
    </row>
    <row r="54">
      <c r="V54" s="2">
        <v>9.5</v>
      </c>
      <c r="W54" s="2">
        <v>0.004044</v>
      </c>
      <c r="X54" s="2">
        <v>0.026704</v>
      </c>
    </row>
    <row r="55">
      <c r="V55" s="2">
        <v>10.0</v>
      </c>
      <c r="W55" s="2">
        <v>0.002961</v>
      </c>
      <c r="X55" s="2">
        <v>0.026642</v>
      </c>
    </row>
  </sheetData>
  <mergeCells count="10">
    <mergeCell ref="P2:R2"/>
    <mergeCell ref="S2:U2"/>
    <mergeCell ref="A1:L1"/>
    <mergeCell ref="M1:X1"/>
    <mergeCell ref="A2:C2"/>
    <mergeCell ref="D2:F2"/>
    <mergeCell ref="G2:I2"/>
    <mergeCell ref="K2:L2"/>
    <mergeCell ref="M2:O2"/>
    <mergeCell ref="W2:X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4.0"/>
  </cols>
  <sheetData>
    <row r="1">
      <c r="A1" s="13"/>
      <c r="B1" s="2"/>
      <c r="C1" s="14"/>
      <c r="D1" s="15" t="s">
        <v>43</v>
      </c>
      <c r="F1" s="15" t="s">
        <v>44</v>
      </c>
      <c r="H1" s="13"/>
      <c r="I1" s="2"/>
      <c r="J1" s="14"/>
      <c r="K1" s="15" t="s">
        <v>43</v>
      </c>
      <c r="M1" s="15" t="s">
        <v>44</v>
      </c>
    </row>
    <row r="2">
      <c r="A2" s="13" t="s">
        <v>45</v>
      </c>
      <c r="B2" s="2" t="s">
        <v>46</v>
      </c>
      <c r="C2" s="14" t="s">
        <v>47</v>
      </c>
      <c r="D2" s="16" t="s">
        <v>48</v>
      </c>
      <c r="E2" s="15" t="s">
        <v>49</v>
      </c>
      <c r="F2" s="17" t="s">
        <v>49</v>
      </c>
      <c r="H2" s="13" t="s">
        <v>50</v>
      </c>
      <c r="I2" s="2" t="s">
        <v>46</v>
      </c>
      <c r="J2" s="14" t="s">
        <v>47</v>
      </c>
      <c r="K2" s="16" t="s">
        <v>48</v>
      </c>
      <c r="L2" s="15" t="s">
        <v>49</v>
      </c>
      <c r="M2" s="17" t="s">
        <v>49</v>
      </c>
    </row>
    <row r="3">
      <c r="A3" s="2" t="s">
        <v>51</v>
      </c>
      <c r="B3" s="2">
        <v>-18500.7215836</v>
      </c>
      <c r="C3" s="18">
        <f t="shared" ref="C3:C6" si="1">(B3-B$3)*27.211386</f>
        <v>0</v>
      </c>
      <c r="D3" s="16">
        <v>0.484745307</v>
      </c>
      <c r="E3" s="16">
        <v>0.2376946</v>
      </c>
      <c r="F3" s="14">
        <f t="shared" ref="F3:F6" si="2">E3*51.4220675</f>
        <v>12.22274777</v>
      </c>
      <c r="H3" s="2" t="s">
        <v>51</v>
      </c>
      <c r="I3" s="2">
        <v>-18252.4755825</v>
      </c>
      <c r="J3" s="18">
        <f t="shared" ref="J3:J6" si="3">(I3-I$3)*27.211386</f>
        <v>0</v>
      </c>
      <c r="K3" s="16">
        <v>0.139593084</v>
      </c>
      <c r="L3" s="16">
        <v>0.013902762</v>
      </c>
      <c r="M3" s="14">
        <f t="shared" ref="M3:M6" si="4">L3*51.4220675</f>
        <v>0.714908766</v>
      </c>
    </row>
    <row r="4">
      <c r="A4" s="2" t="s">
        <v>52</v>
      </c>
      <c r="B4" s="2">
        <v>-18501.4586642</v>
      </c>
      <c r="C4" s="18">
        <f t="shared" si="1"/>
        <v>-20.05698472</v>
      </c>
      <c r="D4" s="16">
        <v>0.067771946</v>
      </c>
      <c r="E4" s="16">
        <v>0.012524189</v>
      </c>
      <c r="F4" s="14">
        <f t="shared" si="2"/>
        <v>0.6440196921</v>
      </c>
      <c r="H4" s="2" t="s">
        <v>52</v>
      </c>
      <c r="I4" s="2">
        <v>-18252.4863032</v>
      </c>
      <c r="J4" s="18">
        <f t="shared" si="3"/>
        <v>-0.2917251059</v>
      </c>
      <c r="K4" s="16">
        <v>0.061711131</v>
      </c>
      <c r="L4" s="16">
        <v>0.012417</v>
      </c>
      <c r="M4" s="14">
        <f t="shared" si="4"/>
        <v>0.6385078121</v>
      </c>
    </row>
    <row r="5">
      <c r="A5" s="2" t="s">
        <v>53</v>
      </c>
      <c r="B5" s="2">
        <v>-18501.6558627</v>
      </c>
      <c r="C5" s="19">
        <f t="shared" si="1"/>
        <v>-25.42302922</v>
      </c>
      <c r="D5" s="20">
        <v>0.050174063</v>
      </c>
      <c r="E5" s="20">
        <v>0.012210391</v>
      </c>
      <c r="F5" s="21">
        <f t="shared" si="2"/>
        <v>0.6278835502</v>
      </c>
      <c r="H5" s="2" t="s">
        <v>54</v>
      </c>
      <c r="I5" s="2">
        <v>-18252.777706</v>
      </c>
      <c r="J5" s="19">
        <f t="shared" si="3"/>
        <v>-8.221199178</v>
      </c>
      <c r="K5" s="16">
        <v>0.0671</v>
      </c>
      <c r="L5" s="16">
        <v>0.0129</v>
      </c>
      <c r="M5" s="14">
        <f t="shared" si="4"/>
        <v>0.6633446708</v>
      </c>
    </row>
    <row r="6">
      <c r="A6" s="2" t="s">
        <v>55</v>
      </c>
      <c r="B6" s="2">
        <v>-18501.6672817</v>
      </c>
      <c r="C6" s="19">
        <f t="shared" si="1"/>
        <v>-25.73375604</v>
      </c>
      <c r="D6" s="16">
        <v>0.070659255</v>
      </c>
      <c r="E6" s="16">
        <v>0.012083601</v>
      </c>
      <c r="F6" s="14">
        <f t="shared" si="2"/>
        <v>0.6213637463</v>
      </c>
      <c r="H6" s="2" t="s">
        <v>56</v>
      </c>
      <c r="I6" s="2">
        <v>-18252.8194848</v>
      </c>
      <c r="J6" s="19">
        <f t="shared" si="3"/>
        <v>-9.358058232</v>
      </c>
      <c r="K6" s="2">
        <v>0.084534039</v>
      </c>
      <c r="L6" s="2">
        <v>0.012338494</v>
      </c>
      <c r="M6" s="14">
        <f t="shared" si="4"/>
        <v>0.6344708713</v>
      </c>
    </row>
    <row r="7">
      <c r="D7" s="22"/>
      <c r="E7" s="22"/>
      <c r="J7" s="18"/>
      <c r="M7" s="14"/>
    </row>
    <row r="8">
      <c r="C8" s="18"/>
      <c r="D8" s="15" t="s">
        <v>43</v>
      </c>
      <c r="F8" s="15" t="s">
        <v>44</v>
      </c>
      <c r="J8" s="18"/>
      <c r="M8" s="18"/>
    </row>
    <row r="9">
      <c r="A9" s="13" t="s">
        <v>57</v>
      </c>
      <c r="B9" s="2" t="s">
        <v>46</v>
      </c>
      <c r="C9" s="14" t="s">
        <v>47</v>
      </c>
      <c r="D9" s="16" t="s">
        <v>48</v>
      </c>
      <c r="E9" s="15" t="s">
        <v>49</v>
      </c>
      <c r="F9" s="17" t="s">
        <v>49</v>
      </c>
      <c r="J9" s="18"/>
      <c r="M9" s="18"/>
    </row>
    <row r="10">
      <c r="A10" s="2" t="s">
        <v>51</v>
      </c>
      <c r="B10" s="2">
        <v>-18938.7821597</v>
      </c>
      <c r="C10" s="18">
        <f t="shared" ref="C10:C13" si="5">(B10-B$10)*27.211386</f>
        <v>0</v>
      </c>
      <c r="D10" s="16">
        <v>0.081929</v>
      </c>
      <c r="E10" s="16">
        <v>0.017233</v>
      </c>
      <c r="F10" s="14">
        <f t="shared" ref="F10:F13" si="6">E10*51.4220675</f>
        <v>0.8861564892</v>
      </c>
      <c r="J10" s="18"/>
      <c r="M10" s="18"/>
    </row>
    <row r="11">
      <c r="A11" s="2" t="s">
        <v>58</v>
      </c>
      <c r="B11" s="2">
        <v>-18939.3925818</v>
      </c>
      <c r="C11" s="18">
        <f t="shared" si="5"/>
        <v>-16.61043139</v>
      </c>
      <c r="D11" s="20">
        <v>0.103384431</v>
      </c>
      <c r="E11" s="20">
        <v>0.014858442</v>
      </c>
      <c r="F11" s="14">
        <f t="shared" si="6"/>
        <v>0.7640518075</v>
      </c>
      <c r="J11" s="18"/>
      <c r="M11" s="18"/>
    </row>
    <row r="12">
      <c r="A12" s="2" t="s">
        <v>59</v>
      </c>
      <c r="B12" s="2">
        <v>-18939.1493496</v>
      </c>
      <c r="C12" s="18">
        <f t="shared" si="5"/>
        <v>-9.991746104</v>
      </c>
      <c r="D12" s="20">
        <v>0.344428904</v>
      </c>
      <c r="E12" s="20">
        <v>0.02283637</v>
      </c>
      <c r="F12" s="14">
        <f t="shared" si="6"/>
        <v>1.17429336</v>
      </c>
      <c r="J12" s="18"/>
      <c r="M12" s="18"/>
    </row>
    <row r="13">
      <c r="A13" s="2" t="s">
        <v>60</v>
      </c>
      <c r="B13" s="2">
        <v>-18939.5023348</v>
      </c>
      <c r="C13" s="19">
        <f t="shared" si="5"/>
        <v>-19.59696263</v>
      </c>
      <c r="D13" s="16">
        <v>0.075969615</v>
      </c>
      <c r="E13" s="16">
        <v>0.013200218</v>
      </c>
      <c r="F13" s="14">
        <f t="shared" si="6"/>
        <v>0.678782501</v>
      </c>
      <c r="G13" s="7"/>
      <c r="H13" s="7"/>
      <c r="I13" s="7"/>
      <c r="J13" s="19"/>
      <c r="K13" s="7"/>
      <c r="L13" s="7"/>
      <c r="M13" s="1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C14" s="18"/>
      <c r="D14" s="20"/>
      <c r="E14" s="20"/>
      <c r="F14" s="14"/>
      <c r="J14" s="18"/>
      <c r="M14" s="18"/>
    </row>
    <row r="15">
      <c r="C15" s="18"/>
      <c r="D15" s="20"/>
      <c r="E15" s="20"/>
      <c r="F15" s="14"/>
      <c r="J15" s="18"/>
      <c r="M15" s="18"/>
    </row>
    <row r="16">
      <c r="C16" s="19"/>
      <c r="D16" s="16"/>
      <c r="E16" s="16"/>
      <c r="F16" s="14"/>
      <c r="J16" s="18"/>
      <c r="M16" s="18"/>
    </row>
    <row r="17">
      <c r="C17" s="18"/>
      <c r="D17" s="22"/>
      <c r="E17" s="22"/>
      <c r="F17" s="18"/>
      <c r="J17" s="18"/>
      <c r="M17" s="18"/>
    </row>
    <row r="18">
      <c r="C18" s="18"/>
      <c r="D18" s="22"/>
      <c r="E18" s="22"/>
      <c r="F18" s="18"/>
      <c r="J18" s="18"/>
      <c r="M18" s="18"/>
    </row>
    <row r="19">
      <c r="C19" s="18"/>
      <c r="D19" s="22"/>
      <c r="E19" s="22"/>
      <c r="F19" s="18"/>
      <c r="J19" s="18"/>
      <c r="M19" s="18"/>
    </row>
    <row r="20">
      <c r="C20" s="18"/>
      <c r="D20" s="22"/>
      <c r="E20" s="22"/>
      <c r="F20" s="18"/>
      <c r="J20" s="18"/>
      <c r="M20" s="18"/>
    </row>
    <row r="21">
      <c r="C21" s="18"/>
      <c r="D21" s="22"/>
      <c r="E21" s="22"/>
      <c r="F21" s="18"/>
      <c r="J21" s="18"/>
      <c r="M21" s="18"/>
    </row>
    <row r="22">
      <c r="C22" s="18"/>
      <c r="D22" s="22"/>
      <c r="E22" s="22"/>
      <c r="F22" s="18"/>
      <c r="J22" s="18"/>
      <c r="M22" s="18"/>
    </row>
    <row r="23">
      <c r="C23" s="18"/>
      <c r="D23" s="22"/>
      <c r="E23" s="22"/>
      <c r="F23" s="18"/>
      <c r="J23" s="18"/>
      <c r="M23" s="18"/>
    </row>
    <row r="24">
      <c r="C24" s="18"/>
      <c r="D24" s="22"/>
      <c r="E24" s="22"/>
      <c r="F24" s="18"/>
      <c r="J24" s="18"/>
      <c r="M24" s="18"/>
    </row>
    <row r="25">
      <c r="C25" s="18"/>
      <c r="D25" s="22"/>
      <c r="E25" s="22"/>
      <c r="F25" s="18"/>
      <c r="J25" s="18"/>
      <c r="M25" s="18"/>
    </row>
    <row r="26">
      <c r="C26" s="18"/>
      <c r="D26" s="22"/>
      <c r="E26" s="22"/>
      <c r="F26" s="18"/>
      <c r="J26" s="18"/>
      <c r="M26" s="18"/>
    </row>
    <row r="27">
      <c r="C27" s="18"/>
      <c r="D27" s="22"/>
      <c r="E27" s="22"/>
      <c r="F27" s="18"/>
      <c r="J27" s="18"/>
      <c r="M27" s="18"/>
    </row>
    <row r="28">
      <c r="C28" s="18"/>
      <c r="D28" s="22"/>
      <c r="E28" s="22"/>
      <c r="F28" s="18"/>
      <c r="J28" s="18"/>
      <c r="M28" s="18"/>
    </row>
    <row r="29">
      <c r="C29" s="18"/>
      <c r="D29" s="22"/>
      <c r="E29" s="22"/>
      <c r="F29" s="18"/>
      <c r="J29" s="18"/>
      <c r="M29" s="18"/>
    </row>
    <row r="30">
      <c r="C30" s="18"/>
      <c r="D30" s="22"/>
      <c r="E30" s="22"/>
      <c r="F30" s="18"/>
      <c r="J30" s="18"/>
      <c r="M30" s="18"/>
    </row>
    <row r="31">
      <c r="C31" s="18"/>
      <c r="D31" s="22"/>
      <c r="E31" s="22"/>
      <c r="F31" s="18"/>
      <c r="J31" s="18"/>
      <c r="M31" s="18"/>
    </row>
    <row r="32">
      <c r="C32" s="18"/>
      <c r="D32" s="22"/>
      <c r="E32" s="22"/>
      <c r="F32" s="18"/>
      <c r="J32" s="18"/>
      <c r="M32" s="18"/>
    </row>
    <row r="33">
      <c r="C33" s="18"/>
      <c r="D33" s="22"/>
      <c r="E33" s="22"/>
      <c r="F33" s="18"/>
      <c r="J33" s="18"/>
      <c r="M33" s="18"/>
    </row>
    <row r="34">
      <c r="C34" s="18"/>
      <c r="D34" s="22"/>
      <c r="E34" s="22"/>
      <c r="F34" s="18"/>
      <c r="J34" s="18"/>
      <c r="M34" s="18"/>
    </row>
    <row r="35">
      <c r="C35" s="18"/>
      <c r="D35" s="22"/>
      <c r="E35" s="22"/>
      <c r="F35" s="18"/>
      <c r="J35" s="18"/>
      <c r="M35" s="18"/>
    </row>
    <row r="36">
      <c r="C36" s="18"/>
      <c r="D36" s="22"/>
      <c r="E36" s="22"/>
      <c r="F36" s="18"/>
      <c r="J36" s="18"/>
      <c r="M36" s="18"/>
    </row>
    <row r="37">
      <c r="C37" s="18"/>
      <c r="D37" s="22"/>
      <c r="E37" s="22"/>
      <c r="F37" s="18"/>
      <c r="J37" s="18"/>
      <c r="M37" s="18"/>
    </row>
    <row r="38">
      <c r="C38" s="18"/>
      <c r="D38" s="22"/>
      <c r="E38" s="22"/>
      <c r="F38" s="18"/>
      <c r="J38" s="18"/>
      <c r="M38" s="18"/>
    </row>
    <row r="39">
      <c r="C39" s="18"/>
      <c r="D39" s="22"/>
      <c r="E39" s="22"/>
      <c r="F39" s="18"/>
      <c r="J39" s="18"/>
      <c r="M39" s="18"/>
    </row>
    <row r="40">
      <c r="C40" s="18"/>
      <c r="D40" s="22"/>
      <c r="E40" s="22"/>
      <c r="F40" s="18"/>
      <c r="J40" s="18"/>
      <c r="M40" s="18"/>
    </row>
    <row r="41">
      <c r="C41" s="18"/>
      <c r="D41" s="22"/>
      <c r="E41" s="22"/>
      <c r="F41" s="18"/>
      <c r="J41" s="18"/>
      <c r="M41" s="18"/>
    </row>
    <row r="42">
      <c r="C42" s="18"/>
      <c r="D42" s="22"/>
      <c r="E42" s="22"/>
      <c r="F42" s="18"/>
      <c r="J42" s="18"/>
      <c r="M42" s="18"/>
    </row>
    <row r="43">
      <c r="C43" s="18"/>
      <c r="D43" s="22"/>
      <c r="E43" s="22"/>
      <c r="F43" s="18"/>
      <c r="J43" s="18"/>
      <c r="M43" s="18"/>
    </row>
    <row r="44">
      <c r="C44" s="18"/>
      <c r="D44" s="22"/>
      <c r="E44" s="22"/>
      <c r="F44" s="18"/>
      <c r="J44" s="18"/>
      <c r="M44" s="18"/>
    </row>
    <row r="45">
      <c r="C45" s="18"/>
      <c r="D45" s="22"/>
      <c r="E45" s="22"/>
      <c r="F45" s="18"/>
      <c r="J45" s="18"/>
      <c r="M45" s="18"/>
    </row>
    <row r="46">
      <c r="C46" s="18"/>
      <c r="D46" s="22"/>
      <c r="E46" s="22"/>
      <c r="F46" s="18"/>
      <c r="J46" s="18"/>
      <c r="M46" s="18"/>
    </row>
    <row r="47">
      <c r="C47" s="18"/>
      <c r="D47" s="22"/>
      <c r="E47" s="22"/>
      <c r="F47" s="18"/>
      <c r="J47" s="18"/>
      <c r="M47" s="18"/>
    </row>
    <row r="48">
      <c r="C48" s="18"/>
      <c r="D48" s="22"/>
      <c r="E48" s="22"/>
      <c r="F48" s="18"/>
      <c r="J48" s="18"/>
      <c r="M48" s="18"/>
    </row>
    <row r="49">
      <c r="C49" s="18"/>
      <c r="D49" s="22"/>
      <c r="E49" s="22"/>
      <c r="F49" s="18"/>
      <c r="J49" s="18"/>
      <c r="M49" s="18"/>
    </row>
    <row r="50">
      <c r="C50" s="18"/>
      <c r="D50" s="22"/>
      <c r="E50" s="22"/>
      <c r="F50" s="18"/>
      <c r="J50" s="18"/>
      <c r="M50" s="18"/>
    </row>
    <row r="51">
      <c r="C51" s="18"/>
      <c r="D51" s="22"/>
      <c r="E51" s="22"/>
      <c r="F51" s="18"/>
      <c r="J51" s="18"/>
      <c r="M51" s="18"/>
    </row>
    <row r="52">
      <c r="C52" s="18"/>
      <c r="D52" s="22"/>
      <c r="E52" s="22"/>
      <c r="F52" s="18"/>
      <c r="J52" s="18"/>
      <c r="M52" s="18"/>
    </row>
    <row r="53">
      <c r="C53" s="18"/>
      <c r="D53" s="22"/>
      <c r="E53" s="22"/>
      <c r="F53" s="18"/>
      <c r="J53" s="18"/>
      <c r="M53" s="18"/>
    </row>
    <row r="54">
      <c r="C54" s="18"/>
      <c r="D54" s="22"/>
      <c r="E54" s="22"/>
      <c r="F54" s="18"/>
      <c r="J54" s="18"/>
      <c r="M54" s="18"/>
    </row>
    <row r="55">
      <c r="C55" s="18"/>
      <c r="D55" s="22"/>
      <c r="E55" s="22"/>
      <c r="F55" s="18"/>
      <c r="J55" s="18"/>
      <c r="M55" s="18"/>
    </row>
    <row r="56">
      <c r="C56" s="18"/>
      <c r="D56" s="22"/>
      <c r="E56" s="22"/>
      <c r="F56" s="18"/>
      <c r="J56" s="18"/>
      <c r="M56" s="18"/>
    </row>
    <row r="57">
      <c r="C57" s="18"/>
      <c r="D57" s="22"/>
      <c r="E57" s="22"/>
      <c r="F57" s="18"/>
      <c r="J57" s="18"/>
      <c r="M57" s="18"/>
    </row>
    <row r="58">
      <c r="C58" s="18"/>
      <c r="D58" s="22"/>
      <c r="E58" s="22"/>
      <c r="F58" s="18"/>
      <c r="J58" s="18"/>
      <c r="M58" s="18"/>
    </row>
    <row r="59">
      <c r="C59" s="18"/>
      <c r="D59" s="22"/>
      <c r="E59" s="22"/>
      <c r="F59" s="18"/>
      <c r="J59" s="18"/>
      <c r="M59" s="18"/>
    </row>
    <row r="60">
      <c r="C60" s="18"/>
      <c r="D60" s="22"/>
      <c r="E60" s="22"/>
      <c r="F60" s="18"/>
      <c r="J60" s="18"/>
      <c r="M60" s="18"/>
    </row>
    <row r="61">
      <c r="C61" s="18"/>
      <c r="D61" s="22"/>
      <c r="E61" s="22"/>
      <c r="F61" s="18"/>
      <c r="J61" s="18"/>
      <c r="M61" s="18"/>
    </row>
    <row r="62">
      <c r="C62" s="18"/>
      <c r="D62" s="22"/>
      <c r="E62" s="22"/>
      <c r="F62" s="18"/>
      <c r="J62" s="18"/>
      <c r="M62" s="18"/>
    </row>
    <row r="63">
      <c r="C63" s="18"/>
      <c r="D63" s="22"/>
      <c r="E63" s="22"/>
      <c r="F63" s="18"/>
      <c r="J63" s="18"/>
      <c r="M63" s="18"/>
    </row>
    <row r="64">
      <c r="C64" s="18"/>
      <c r="D64" s="22"/>
      <c r="E64" s="22"/>
      <c r="F64" s="18"/>
      <c r="J64" s="18"/>
      <c r="M64" s="18"/>
    </row>
    <row r="65">
      <c r="C65" s="18"/>
      <c r="D65" s="22"/>
      <c r="E65" s="22"/>
      <c r="F65" s="18"/>
      <c r="J65" s="18"/>
      <c r="M65" s="18"/>
    </row>
    <row r="66">
      <c r="C66" s="18"/>
      <c r="D66" s="22"/>
      <c r="E66" s="22"/>
      <c r="F66" s="18"/>
      <c r="J66" s="18"/>
      <c r="M66" s="18"/>
    </row>
    <row r="67">
      <c r="C67" s="18"/>
      <c r="D67" s="22"/>
      <c r="E67" s="22"/>
      <c r="F67" s="18"/>
      <c r="J67" s="18"/>
      <c r="M67" s="18"/>
    </row>
    <row r="68">
      <c r="C68" s="18"/>
      <c r="D68" s="22"/>
      <c r="E68" s="22"/>
      <c r="F68" s="18"/>
      <c r="J68" s="18"/>
      <c r="M68" s="18"/>
    </row>
    <row r="69">
      <c r="C69" s="18"/>
      <c r="D69" s="22"/>
      <c r="E69" s="22"/>
      <c r="F69" s="18"/>
      <c r="J69" s="18"/>
      <c r="M69" s="18"/>
    </row>
    <row r="70">
      <c r="C70" s="18"/>
      <c r="D70" s="22"/>
      <c r="E70" s="22"/>
      <c r="F70" s="18"/>
      <c r="J70" s="18"/>
      <c r="M70" s="18"/>
    </row>
    <row r="71">
      <c r="C71" s="18"/>
      <c r="D71" s="22"/>
      <c r="E71" s="22"/>
      <c r="F71" s="18"/>
      <c r="J71" s="18"/>
      <c r="M71" s="18"/>
    </row>
    <row r="72">
      <c r="C72" s="18"/>
      <c r="D72" s="22"/>
      <c r="E72" s="22"/>
      <c r="F72" s="18"/>
      <c r="J72" s="18"/>
      <c r="M72" s="18"/>
    </row>
    <row r="73">
      <c r="C73" s="18"/>
      <c r="D73" s="22"/>
      <c r="E73" s="22"/>
      <c r="F73" s="18"/>
      <c r="J73" s="18"/>
      <c r="M73" s="18"/>
    </row>
    <row r="74">
      <c r="C74" s="18"/>
      <c r="D74" s="22"/>
      <c r="E74" s="22"/>
      <c r="F74" s="18"/>
      <c r="J74" s="18"/>
      <c r="M74" s="18"/>
    </row>
    <row r="75">
      <c r="C75" s="18"/>
      <c r="D75" s="22"/>
      <c r="E75" s="22"/>
      <c r="F75" s="18"/>
      <c r="J75" s="18"/>
      <c r="M75" s="18"/>
    </row>
    <row r="76">
      <c r="C76" s="18"/>
      <c r="D76" s="22"/>
      <c r="E76" s="22"/>
      <c r="F76" s="18"/>
      <c r="J76" s="18"/>
      <c r="M76" s="18"/>
    </row>
    <row r="77">
      <c r="C77" s="18"/>
      <c r="D77" s="22"/>
      <c r="E77" s="22"/>
      <c r="F77" s="18"/>
      <c r="J77" s="18"/>
      <c r="M77" s="18"/>
    </row>
    <row r="78">
      <c r="C78" s="18"/>
      <c r="D78" s="22"/>
      <c r="E78" s="22"/>
      <c r="F78" s="18"/>
      <c r="J78" s="18"/>
      <c r="M78" s="18"/>
    </row>
    <row r="79">
      <c r="C79" s="18"/>
      <c r="D79" s="22"/>
      <c r="E79" s="22"/>
      <c r="F79" s="18"/>
      <c r="J79" s="18"/>
      <c r="M79" s="18"/>
    </row>
    <row r="80">
      <c r="C80" s="18"/>
      <c r="D80" s="22"/>
      <c r="E80" s="22"/>
      <c r="F80" s="18"/>
      <c r="J80" s="18"/>
      <c r="M80" s="18"/>
    </row>
    <row r="81">
      <c r="C81" s="18"/>
      <c r="D81" s="22"/>
      <c r="E81" s="22"/>
      <c r="F81" s="18"/>
      <c r="J81" s="18"/>
      <c r="M81" s="18"/>
    </row>
    <row r="82">
      <c r="C82" s="18"/>
      <c r="D82" s="22"/>
      <c r="E82" s="22"/>
      <c r="F82" s="18"/>
      <c r="J82" s="18"/>
      <c r="M82" s="18"/>
    </row>
    <row r="83">
      <c r="C83" s="18"/>
      <c r="D83" s="22"/>
      <c r="E83" s="22"/>
      <c r="F83" s="18"/>
      <c r="J83" s="18"/>
      <c r="M83" s="18"/>
    </row>
    <row r="84">
      <c r="C84" s="18"/>
      <c r="D84" s="22"/>
      <c r="E84" s="22"/>
      <c r="F84" s="18"/>
      <c r="J84" s="18"/>
      <c r="M84" s="18"/>
    </row>
    <row r="85">
      <c r="C85" s="18"/>
      <c r="D85" s="22"/>
      <c r="E85" s="22"/>
      <c r="F85" s="18"/>
      <c r="J85" s="18"/>
      <c r="M85" s="18"/>
    </row>
    <row r="86">
      <c r="C86" s="18"/>
      <c r="D86" s="22"/>
      <c r="E86" s="22"/>
      <c r="F86" s="18"/>
      <c r="J86" s="18"/>
      <c r="M86" s="18"/>
    </row>
    <row r="87">
      <c r="C87" s="18"/>
      <c r="D87" s="22"/>
      <c r="E87" s="22"/>
      <c r="F87" s="18"/>
      <c r="J87" s="18"/>
      <c r="M87" s="18"/>
    </row>
    <row r="88">
      <c r="C88" s="18"/>
      <c r="D88" s="22"/>
      <c r="E88" s="22"/>
      <c r="F88" s="18"/>
      <c r="J88" s="18"/>
      <c r="M88" s="18"/>
    </row>
    <row r="89">
      <c r="C89" s="18"/>
      <c r="D89" s="22"/>
      <c r="E89" s="22"/>
      <c r="F89" s="18"/>
      <c r="J89" s="18"/>
      <c r="M89" s="18"/>
    </row>
    <row r="90">
      <c r="C90" s="18"/>
      <c r="D90" s="22"/>
      <c r="E90" s="22"/>
      <c r="F90" s="18"/>
      <c r="J90" s="18"/>
      <c r="M90" s="18"/>
    </row>
    <row r="91">
      <c r="C91" s="18"/>
      <c r="D91" s="22"/>
      <c r="E91" s="22"/>
      <c r="F91" s="18"/>
      <c r="J91" s="18"/>
      <c r="M91" s="18"/>
    </row>
    <row r="92">
      <c r="C92" s="18"/>
      <c r="D92" s="22"/>
      <c r="E92" s="22"/>
      <c r="F92" s="18"/>
      <c r="J92" s="18"/>
      <c r="M92" s="18"/>
    </row>
    <row r="93">
      <c r="C93" s="18"/>
      <c r="D93" s="22"/>
      <c r="E93" s="22"/>
      <c r="F93" s="18"/>
      <c r="J93" s="18"/>
      <c r="M93" s="18"/>
    </row>
    <row r="94">
      <c r="C94" s="18"/>
      <c r="D94" s="22"/>
      <c r="E94" s="22"/>
      <c r="F94" s="18"/>
      <c r="J94" s="18"/>
      <c r="M94" s="18"/>
    </row>
    <row r="95">
      <c r="C95" s="18"/>
      <c r="D95" s="22"/>
      <c r="E95" s="22"/>
      <c r="F95" s="18"/>
      <c r="J95" s="18"/>
      <c r="M95" s="18"/>
    </row>
    <row r="96">
      <c r="C96" s="18"/>
      <c r="D96" s="22"/>
      <c r="E96" s="22"/>
      <c r="F96" s="18"/>
      <c r="J96" s="18"/>
      <c r="M96" s="18"/>
    </row>
    <row r="97">
      <c r="C97" s="18"/>
      <c r="D97" s="22"/>
      <c r="E97" s="22"/>
      <c r="F97" s="18"/>
      <c r="J97" s="18"/>
      <c r="M97" s="18"/>
    </row>
    <row r="98">
      <c r="C98" s="18"/>
      <c r="D98" s="22"/>
      <c r="E98" s="22"/>
      <c r="F98" s="18"/>
      <c r="J98" s="18"/>
      <c r="M98" s="18"/>
    </row>
    <row r="99">
      <c r="C99" s="18"/>
      <c r="D99" s="22"/>
      <c r="E99" s="22"/>
      <c r="F99" s="18"/>
      <c r="J99" s="18"/>
      <c r="M99" s="18"/>
    </row>
    <row r="100">
      <c r="C100" s="18"/>
      <c r="D100" s="22"/>
      <c r="E100" s="22"/>
      <c r="F100" s="18"/>
      <c r="J100" s="18"/>
      <c r="M100" s="18"/>
    </row>
    <row r="101">
      <c r="C101" s="18"/>
      <c r="D101" s="22"/>
      <c r="E101" s="22"/>
      <c r="F101" s="18"/>
      <c r="J101" s="18"/>
      <c r="M101" s="18"/>
    </row>
    <row r="102">
      <c r="C102" s="18"/>
      <c r="D102" s="22"/>
      <c r="E102" s="22"/>
      <c r="F102" s="18"/>
      <c r="J102" s="18"/>
      <c r="M102" s="18"/>
    </row>
    <row r="103">
      <c r="C103" s="18"/>
      <c r="D103" s="22"/>
      <c r="E103" s="22"/>
      <c r="F103" s="18"/>
      <c r="J103" s="18"/>
      <c r="M103" s="18"/>
    </row>
    <row r="104">
      <c r="C104" s="18"/>
      <c r="D104" s="22"/>
      <c r="E104" s="22"/>
      <c r="F104" s="18"/>
      <c r="J104" s="18"/>
      <c r="M104" s="18"/>
    </row>
    <row r="105">
      <c r="C105" s="18"/>
      <c r="D105" s="22"/>
      <c r="E105" s="22"/>
      <c r="F105" s="18"/>
      <c r="J105" s="18"/>
      <c r="M105" s="18"/>
    </row>
    <row r="106">
      <c r="C106" s="18"/>
      <c r="D106" s="22"/>
      <c r="E106" s="22"/>
      <c r="F106" s="18"/>
      <c r="J106" s="18"/>
      <c r="M106" s="18"/>
    </row>
    <row r="107">
      <c r="C107" s="18"/>
      <c r="D107" s="22"/>
      <c r="E107" s="22"/>
      <c r="F107" s="18"/>
      <c r="J107" s="18"/>
      <c r="M107" s="18"/>
    </row>
    <row r="108">
      <c r="C108" s="18"/>
      <c r="D108" s="22"/>
      <c r="E108" s="22"/>
      <c r="F108" s="18"/>
      <c r="J108" s="18"/>
      <c r="M108" s="18"/>
    </row>
    <row r="109">
      <c r="C109" s="18"/>
      <c r="D109" s="22"/>
      <c r="E109" s="22"/>
      <c r="F109" s="18"/>
      <c r="J109" s="18"/>
      <c r="M109" s="18"/>
    </row>
    <row r="110">
      <c r="C110" s="18"/>
      <c r="D110" s="22"/>
      <c r="E110" s="22"/>
      <c r="F110" s="18"/>
      <c r="J110" s="18"/>
      <c r="M110" s="18"/>
    </row>
    <row r="111">
      <c r="C111" s="18"/>
      <c r="D111" s="22"/>
      <c r="E111" s="22"/>
      <c r="F111" s="18"/>
      <c r="J111" s="18"/>
      <c r="M111" s="18"/>
    </row>
    <row r="112">
      <c r="C112" s="18"/>
      <c r="D112" s="22"/>
      <c r="E112" s="22"/>
      <c r="F112" s="18"/>
      <c r="J112" s="18"/>
      <c r="M112" s="18"/>
    </row>
    <row r="113">
      <c r="C113" s="18"/>
      <c r="D113" s="22"/>
      <c r="E113" s="22"/>
      <c r="F113" s="18"/>
      <c r="J113" s="18"/>
      <c r="M113" s="18"/>
    </row>
    <row r="114">
      <c r="C114" s="18"/>
      <c r="D114" s="22"/>
      <c r="E114" s="22"/>
      <c r="F114" s="18"/>
      <c r="J114" s="18"/>
      <c r="M114" s="18"/>
    </row>
    <row r="115">
      <c r="C115" s="18"/>
      <c r="D115" s="22"/>
      <c r="E115" s="22"/>
      <c r="F115" s="18"/>
      <c r="J115" s="18"/>
      <c r="M115" s="18"/>
    </row>
    <row r="116">
      <c r="C116" s="18"/>
      <c r="D116" s="22"/>
      <c r="E116" s="22"/>
      <c r="F116" s="18"/>
      <c r="J116" s="18"/>
      <c r="M116" s="18"/>
    </row>
    <row r="117">
      <c r="C117" s="18"/>
      <c r="D117" s="22"/>
      <c r="E117" s="22"/>
      <c r="F117" s="18"/>
      <c r="J117" s="18"/>
      <c r="M117" s="18"/>
    </row>
    <row r="118">
      <c r="C118" s="18"/>
      <c r="D118" s="22"/>
      <c r="E118" s="22"/>
      <c r="F118" s="18"/>
      <c r="J118" s="18"/>
      <c r="M118" s="18"/>
    </row>
    <row r="119">
      <c r="C119" s="18"/>
      <c r="D119" s="22"/>
      <c r="E119" s="22"/>
      <c r="F119" s="18"/>
      <c r="J119" s="18"/>
      <c r="M119" s="18"/>
    </row>
    <row r="120">
      <c r="C120" s="18"/>
      <c r="D120" s="22"/>
      <c r="E120" s="22"/>
      <c r="F120" s="18"/>
      <c r="J120" s="18"/>
      <c r="M120" s="18"/>
    </row>
    <row r="121">
      <c r="C121" s="18"/>
      <c r="D121" s="22"/>
      <c r="E121" s="22"/>
      <c r="F121" s="18"/>
      <c r="J121" s="18"/>
      <c r="M121" s="18"/>
    </row>
    <row r="122">
      <c r="C122" s="18"/>
      <c r="D122" s="22"/>
      <c r="E122" s="22"/>
      <c r="F122" s="18"/>
      <c r="J122" s="18"/>
      <c r="M122" s="18"/>
    </row>
    <row r="123">
      <c r="C123" s="18"/>
      <c r="D123" s="22"/>
      <c r="E123" s="22"/>
      <c r="F123" s="18"/>
      <c r="J123" s="18"/>
      <c r="M123" s="18"/>
    </row>
    <row r="124">
      <c r="C124" s="18"/>
      <c r="D124" s="22"/>
      <c r="E124" s="22"/>
      <c r="F124" s="18"/>
      <c r="J124" s="18"/>
      <c r="M124" s="18"/>
    </row>
    <row r="125">
      <c r="C125" s="18"/>
      <c r="D125" s="22"/>
      <c r="E125" s="22"/>
      <c r="F125" s="18"/>
      <c r="J125" s="18"/>
      <c r="M125" s="18"/>
    </row>
    <row r="126">
      <c r="C126" s="18"/>
      <c r="D126" s="22"/>
      <c r="E126" s="22"/>
      <c r="F126" s="18"/>
      <c r="J126" s="18"/>
      <c r="M126" s="18"/>
    </row>
    <row r="127">
      <c r="C127" s="18"/>
      <c r="D127" s="22"/>
      <c r="E127" s="22"/>
      <c r="F127" s="18"/>
      <c r="J127" s="18"/>
      <c r="M127" s="18"/>
    </row>
    <row r="128">
      <c r="C128" s="18"/>
      <c r="D128" s="22"/>
      <c r="E128" s="22"/>
      <c r="F128" s="18"/>
      <c r="J128" s="18"/>
      <c r="M128" s="18"/>
    </row>
    <row r="129">
      <c r="C129" s="18"/>
      <c r="D129" s="22"/>
      <c r="E129" s="22"/>
      <c r="F129" s="18"/>
      <c r="J129" s="18"/>
      <c r="M129" s="18"/>
    </row>
    <row r="130">
      <c r="C130" s="18"/>
      <c r="D130" s="22"/>
      <c r="E130" s="22"/>
      <c r="F130" s="18"/>
      <c r="J130" s="18"/>
      <c r="M130" s="18"/>
    </row>
    <row r="131">
      <c r="C131" s="18"/>
      <c r="D131" s="22"/>
      <c r="E131" s="22"/>
      <c r="F131" s="18"/>
      <c r="J131" s="18"/>
      <c r="M131" s="18"/>
    </row>
    <row r="132">
      <c r="C132" s="18"/>
      <c r="D132" s="22"/>
      <c r="E132" s="22"/>
      <c r="F132" s="18"/>
      <c r="J132" s="18"/>
      <c r="M132" s="18"/>
    </row>
    <row r="133">
      <c r="C133" s="18"/>
      <c r="D133" s="22"/>
      <c r="E133" s="22"/>
      <c r="F133" s="18"/>
      <c r="J133" s="18"/>
      <c r="M133" s="18"/>
    </row>
    <row r="134">
      <c r="C134" s="18"/>
      <c r="D134" s="22"/>
      <c r="E134" s="22"/>
      <c r="F134" s="18"/>
      <c r="J134" s="18"/>
      <c r="M134" s="18"/>
    </row>
    <row r="135">
      <c r="C135" s="18"/>
      <c r="D135" s="22"/>
      <c r="E135" s="22"/>
      <c r="F135" s="18"/>
      <c r="J135" s="18"/>
      <c r="M135" s="18"/>
    </row>
    <row r="136">
      <c r="C136" s="18"/>
      <c r="D136" s="22"/>
      <c r="E136" s="22"/>
      <c r="F136" s="18"/>
      <c r="J136" s="18"/>
      <c r="M136" s="18"/>
    </row>
    <row r="137">
      <c r="C137" s="18"/>
      <c r="D137" s="22"/>
      <c r="E137" s="22"/>
      <c r="F137" s="18"/>
      <c r="J137" s="18"/>
      <c r="M137" s="18"/>
    </row>
    <row r="138">
      <c r="C138" s="18"/>
      <c r="D138" s="22"/>
      <c r="E138" s="22"/>
      <c r="F138" s="18"/>
      <c r="J138" s="18"/>
      <c r="M138" s="18"/>
    </row>
    <row r="139">
      <c r="C139" s="18"/>
      <c r="D139" s="22"/>
      <c r="E139" s="22"/>
      <c r="F139" s="18"/>
      <c r="J139" s="18"/>
      <c r="M139" s="18"/>
    </row>
    <row r="140">
      <c r="C140" s="18"/>
      <c r="D140" s="22"/>
      <c r="E140" s="22"/>
      <c r="F140" s="18"/>
      <c r="J140" s="18"/>
      <c r="M140" s="18"/>
    </row>
    <row r="141">
      <c r="C141" s="18"/>
      <c r="D141" s="22"/>
      <c r="E141" s="22"/>
      <c r="F141" s="18"/>
      <c r="J141" s="18"/>
      <c r="M141" s="18"/>
    </row>
    <row r="142">
      <c r="C142" s="18"/>
      <c r="D142" s="22"/>
      <c r="E142" s="22"/>
      <c r="F142" s="18"/>
      <c r="J142" s="18"/>
      <c r="M142" s="18"/>
    </row>
    <row r="143">
      <c r="C143" s="18"/>
      <c r="D143" s="22"/>
      <c r="E143" s="22"/>
      <c r="F143" s="18"/>
      <c r="J143" s="18"/>
      <c r="M143" s="18"/>
    </row>
    <row r="144">
      <c r="C144" s="18"/>
      <c r="D144" s="22"/>
      <c r="E144" s="22"/>
      <c r="F144" s="18"/>
      <c r="J144" s="18"/>
      <c r="M144" s="18"/>
    </row>
    <row r="145">
      <c r="C145" s="18"/>
      <c r="D145" s="22"/>
      <c r="E145" s="22"/>
      <c r="F145" s="18"/>
      <c r="J145" s="18"/>
      <c r="M145" s="18"/>
    </row>
    <row r="146">
      <c r="C146" s="18"/>
      <c r="D146" s="22"/>
      <c r="E146" s="22"/>
      <c r="F146" s="18"/>
      <c r="J146" s="18"/>
      <c r="M146" s="18"/>
    </row>
    <row r="147">
      <c r="C147" s="18"/>
      <c r="D147" s="22"/>
      <c r="E147" s="22"/>
      <c r="F147" s="18"/>
      <c r="J147" s="18"/>
      <c r="M147" s="18"/>
    </row>
    <row r="148">
      <c r="C148" s="18"/>
      <c r="D148" s="22"/>
      <c r="E148" s="22"/>
      <c r="F148" s="18"/>
      <c r="J148" s="18"/>
      <c r="M148" s="18"/>
    </row>
    <row r="149">
      <c r="C149" s="18"/>
      <c r="D149" s="22"/>
      <c r="E149" s="22"/>
      <c r="F149" s="18"/>
      <c r="J149" s="18"/>
      <c r="M149" s="18"/>
    </row>
    <row r="150">
      <c r="C150" s="18"/>
      <c r="D150" s="22"/>
      <c r="E150" s="22"/>
      <c r="F150" s="18"/>
      <c r="J150" s="18"/>
      <c r="M150" s="18"/>
    </row>
    <row r="151">
      <c r="C151" s="18"/>
      <c r="D151" s="22"/>
      <c r="E151" s="22"/>
      <c r="F151" s="18"/>
      <c r="J151" s="18"/>
      <c r="M151" s="18"/>
    </row>
    <row r="152">
      <c r="C152" s="18"/>
      <c r="D152" s="22"/>
      <c r="E152" s="22"/>
      <c r="F152" s="18"/>
      <c r="J152" s="18"/>
      <c r="M152" s="18"/>
    </row>
    <row r="153">
      <c r="C153" s="18"/>
      <c r="D153" s="22"/>
      <c r="E153" s="22"/>
      <c r="F153" s="18"/>
      <c r="J153" s="18"/>
      <c r="M153" s="18"/>
    </row>
    <row r="154">
      <c r="C154" s="18"/>
      <c r="D154" s="22"/>
      <c r="E154" s="22"/>
      <c r="F154" s="18"/>
      <c r="J154" s="18"/>
      <c r="M154" s="18"/>
    </row>
    <row r="155">
      <c r="C155" s="18"/>
      <c r="D155" s="22"/>
      <c r="E155" s="22"/>
      <c r="F155" s="18"/>
      <c r="J155" s="18"/>
      <c r="M155" s="18"/>
    </row>
    <row r="156">
      <c r="C156" s="18"/>
      <c r="D156" s="22"/>
      <c r="E156" s="22"/>
      <c r="F156" s="18"/>
      <c r="J156" s="18"/>
      <c r="M156" s="18"/>
    </row>
    <row r="157">
      <c r="C157" s="18"/>
      <c r="D157" s="22"/>
      <c r="E157" s="22"/>
      <c r="F157" s="18"/>
      <c r="J157" s="18"/>
      <c r="M157" s="18"/>
    </row>
    <row r="158">
      <c r="C158" s="18"/>
      <c r="D158" s="22"/>
      <c r="E158" s="22"/>
      <c r="F158" s="18"/>
      <c r="J158" s="18"/>
      <c r="M158" s="18"/>
    </row>
    <row r="159">
      <c r="C159" s="18"/>
      <c r="D159" s="22"/>
      <c r="E159" s="22"/>
      <c r="F159" s="18"/>
      <c r="J159" s="18"/>
      <c r="M159" s="18"/>
    </row>
    <row r="160">
      <c r="C160" s="18"/>
      <c r="D160" s="22"/>
      <c r="E160" s="22"/>
      <c r="F160" s="18"/>
      <c r="J160" s="18"/>
      <c r="M160" s="18"/>
    </row>
    <row r="161">
      <c r="C161" s="18"/>
      <c r="D161" s="22"/>
      <c r="E161" s="22"/>
      <c r="F161" s="18"/>
      <c r="J161" s="18"/>
      <c r="M161" s="18"/>
    </row>
    <row r="162">
      <c r="C162" s="18"/>
      <c r="D162" s="22"/>
      <c r="E162" s="22"/>
      <c r="F162" s="18"/>
      <c r="J162" s="18"/>
      <c r="M162" s="18"/>
    </row>
    <row r="163">
      <c r="C163" s="18"/>
      <c r="D163" s="22"/>
      <c r="E163" s="22"/>
      <c r="F163" s="18"/>
      <c r="J163" s="18"/>
      <c r="M163" s="18"/>
    </row>
    <row r="164">
      <c r="C164" s="18"/>
      <c r="D164" s="22"/>
      <c r="E164" s="22"/>
      <c r="F164" s="18"/>
      <c r="J164" s="18"/>
      <c r="M164" s="18"/>
    </row>
    <row r="165">
      <c r="C165" s="18"/>
      <c r="D165" s="22"/>
      <c r="E165" s="22"/>
      <c r="F165" s="18"/>
      <c r="J165" s="18"/>
      <c r="M165" s="18"/>
    </row>
    <row r="166">
      <c r="C166" s="18"/>
      <c r="D166" s="22"/>
      <c r="E166" s="22"/>
      <c r="F166" s="18"/>
      <c r="J166" s="18"/>
      <c r="M166" s="18"/>
    </row>
    <row r="167">
      <c r="C167" s="18"/>
      <c r="D167" s="22"/>
      <c r="E167" s="22"/>
      <c r="F167" s="18"/>
      <c r="J167" s="18"/>
      <c r="M167" s="18"/>
    </row>
    <row r="168">
      <c r="C168" s="18"/>
      <c r="D168" s="22"/>
      <c r="E168" s="22"/>
      <c r="F168" s="18"/>
      <c r="J168" s="18"/>
      <c r="M168" s="18"/>
    </row>
    <row r="169">
      <c r="C169" s="18"/>
      <c r="D169" s="22"/>
      <c r="E169" s="22"/>
      <c r="F169" s="18"/>
      <c r="J169" s="18"/>
      <c r="M169" s="18"/>
    </row>
    <row r="170">
      <c r="C170" s="18"/>
      <c r="D170" s="22"/>
      <c r="E170" s="22"/>
      <c r="F170" s="18"/>
      <c r="J170" s="18"/>
      <c r="M170" s="18"/>
    </row>
    <row r="171">
      <c r="C171" s="18"/>
      <c r="D171" s="22"/>
      <c r="E171" s="22"/>
      <c r="F171" s="18"/>
      <c r="J171" s="18"/>
      <c r="M171" s="18"/>
    </row>
    <row r="172">
      <c r="C172" s="18"/>
      <c r="D172" s="22"/>
      <c r="E172" s="22"/>
      <c r="F172" s="18"/>
      <c r="J172" s="18"/>
      <c r="M172" s="18"/>
    </row>
    <row r="173">
      <c r="C173" s="18"/>
      <c r="D173" s="22"/>
      <c r="E173" s="22"/>
      <c r="F173" s="18"/>
      <c r="J173" s="18"/>
      <c r="M173" s="18"/>
    </row>
    <row r="174">
      <c r="C174" s="18"/>
      <c r="D174" s="22"/>
      <c r="E174" s="22"/>
      <c r="F174" s="18"/>
      <c r="J174" s="18"/>
      <c r="M174" s="18"/>
    </row>
    <row r="175">
      <c r="C175" s="18"/>
      <c r="D175" s="22"/>
      <c r="E175" s="22"/>
      <c r="F175" s="18"/>
      <c r="J175" s="18"/>
      <c r="M175" s="18"/>
    </row>
    <row r="176">
      <c r="C176" s="18"/>
      <c r="D176" s="22"/>
      <c r="E176" s="22"/>
      <c r="F176" s="18"/>
      <c r="J176" s="18"/>
      <c r="M176" s="18"/>
    </row>
    <row r="177">
      <c r="C177" s="18"/>
      <c r="D177" s="22"/>
      <c r="E177" s="22"/>
      <c r="F177" s="18"/>
      <c r="J177" s="18"/>
      <c r="M177" s="18"/>
    </row>
    <row r="178">
      <c r="C178" s="18"/>
      <c r="D178" s="22"/>
      <c r="E178" s="22"/>
      <c r="F178" s="18"/>
      <c r="J178" s="18"/>
      <c r="M178" s="18"/>
    </row>
    <row r="179">
      <c r="C179" s="18"/>
      <c r="D179" s="22"/>
      <c r="E179" s="22"/>
      <c r="F179" s="18"/>
      <c r="J179" s="18"/>
      <c r="M179" s="18"/>
    </row>
    <row r="180">
      <c r="C180" s="18"/>
      <c r="D180" s="22"/>
      <c r="E180" s="22"/>
      <c r="F180" s="18"/>
      <c r="J180" s="18"/>
      <c r="M180" s="18"/>
    </row>
    <row r="181">
      <c r="C181" s="18"/>
      <c r="D181" s="22"/>
      <c r="E181" s="22"/>
      <c r="F181" s="18"/>
      <c r="J181" s="18"/>
      <c r="M181" s="18"/>
    </row>
    <row r="182">
      <c r="C182" s="18"/>
      <c r="D182" s="22"/>
      <c r="E182" s="22"/>
      <c r="F182" s="18"/>
      <c r="J182" s="18"/>
      <c r="M182" s="18"/>
    </row>
    <row r="183">
      <c r="C183" s="18"/>
      <c r="D183" s="22"/>
      <c r="E183" s="22"/>
      <c r="F183" s="18"/>
      <c r="J183" s="18"/>
      <c r="M183" s="18"/>
    </row>
    <row r="184">
      <c r="C184" s="18"/>
      <c r="D184" s="22"/>
      <c r="E184" s="22"/>
      <c r="F184" s="18"/>
      <c r="J184" s="18"/>
      <c r="M184" s="18"/>
    </row>
    <row r="185">
      <c r="C185" s="18"/>
      <c r="D185" s="22"/>
      <c r="E185" s="22"/>
      <c r="F185" s="18"/>
      <c r="J185" s="18"/>
      <c r="M185" s="18"/>
    </row>
    <row r="186">
      <c r="C186" s="18"/>
      <c r="D186" s="22"/>
      <c r="E186" s="22"/>
      <c r="F186" s="18"/>
      <c r="J186" s="18"/>
      <c r="M186" s="18"/>
    </row>
    <row r="187">
      <c r="C187" s="18"/>
      <c r="D187" s="22"/>
      <c r="E187" s="22"/>
      <c r="F187" s="18"/>
      <c r="J187" s="18"/>
      <c r="M187" s="18"/>
    </row>
    <row r="188">
      <c r="C188" s="18"/>
      <c r="D188" s="22"/>
      <c r="E188" s="22"/>
      <c r="F188" s="18"/>
      <c r="J188" s="18"/>
      <c r="M188" s="18"/>
    </row>
    <row r="189">
      <c r="C189" s="18"/>
      <c r="D189" s="22"/>
      <c r="E189" s="22"/>
      <c r="F189" s="18"/>
      <c r="J189" s="18"/>
      <c r="M189" s="18"/>
    </row>
    <row r="190">
      <c r="C190" s="18"/>
      <c r="D190" s="22"/>
      <c r="E190" s="22"/>
      <c r="F190" s="18"/>
      <c r="J190" s="18"/>
      <c r="M190" s="18"/>
    </row>
    <row r="191">
      <c r="C191" s="18"/>
      <c r="D191" s="22"/>
      <c r="E191" s="22"/>
      <c r="F191" s="18"/>
      <c r="J191" s="18"/>
      <c r="M191" s="18"/>
    </row>
    <row r="192">
      <c r="C192" s="18"/>
      <c r="D192" s="22"/>
      <c r="E192" s="22"/>
      <c r="F192" s="18"/>
      <c r="J192" s="18"/>
      <c r="M192" s="18"/>
    </row>
    <row r="193">
      <c r="C193" s="18"/>
      <c r="D193" s="22"/>
      <c r="E193" s="22"/>
      <c r="F193" s="18"/>
      <c r="J193" s="18"/>
      <c r="M193" s="18"/>
    </row>
    <row r="194">
      <c r="C194" s="18"/>
      <c r="D194" s="22"/>
      <c r="E194" s="22"/>
      <c r="F194" s="18"/>
      <c r="J194" s="18"/>
      <c r="M194" s="18"/>
    </row>
    <row r="195">
      <c r="C195" s="18"/>
      <c r="D195" s="22"/>
      <c r="E195" s="22"/>
      <c r="F195" s="18"/>
      <c r="J195" s="18"/>
      <c r="M195" s="18"/>
    </row>
    <row r="196">
      <c r="C196" s="18"/>
      <c r="D196" s="22"/>
      <c r="E196" s="22"/>
      <c r="F196" s="18"/>
      <c r="J196" s="18"/>
      <c r="M196" s="18"/>
    </row>
    <row r="197">
      <c r="C197" s="18"/>
      <c r="D197" s="22"/>
      <c r="E197" s="22"/>
      <c r="F197" s="18"/>
      <c r="J197" s="18"/>
      <c r="M197" s="18"/>
    </row>
    <row r="198">
      <c r="C198" s="18"/>
      <c r="D198" s="22"/>
      <c r="E198" s="22"/>
      <c r="F198" s="18"/>
      <c r="J198" s="18"/>
      <c r="M198" s="18"/>
    </row>
    <row r="199">
      <c r="C199" s="18"/>
      <c r="D199" s="22"/>
      <c r="E199" s="22"/>
      <c r="F199" s="18"/>
      <c r="J199" s="18"/>
      <c r="M199" s="18"/>
    </row>
    <row r="200">
      <c r="C200" s="18"/>
      <c r="D200" s="22"/>
      <c r="E200" s="22"/>
      <c r="F200" s="18"/>
      <c r="J200" s="18"/>
      <c r="M200" s="18"/>
    </row>
    <row r="201">
      <c r="C201" s="18"/>
      <c r="D201" s="22"/>
      <c r="E201" s="22"/>
      <c r="F201" s="18"/>
      <c r="J201" s="18"/>
      <c r="M201" s="18"/>
    </row>
    <row r="202">
      <c r="C202" s="18"/>
      <c r="D202" s="22"/>
      <c r="E202" s="22"/>
      <c r="F202" s="18"/>
      <c r="J202" s="18"/>
      <c r="M202" s="18"/>
    </row>
    <row r="203">
      <c r="C203" s="18"/>
      <c r="D203" s="22"/>
      <c r="E203" s="22"/>
      <c r="F203" s="18"/>
      <c r="J203" s="18"/>
      <c r="M203" s="18"/>
    </row>
    <row r="204">
      <c r="C204" s="18"/>
      <c r="D204" s="22"/>
      <c r="E204" s="22"/>
      <c r="F204" s="18"/>
      <c r="J204" s="18"/>
      <c r="M204" s="18"/>
    </row>
    <row r="205">
      <c r="C205" s="18"/>
      <c r="D205" s="22"/>
      <c r="E205" s="22"/>
      <c r="F205" s="18"/>
      <c r="J205" s="18"/>
      <c r="M205" s="18"/>
    </row>
    <row r="206">
      <c r="C206" s="18"/>
      <c r="D206" s="22"/>
      <c r="E206" s="22"/>
      <c r="F206" s="18"/>
      <c r="J206" s="18"/>
      <c r="M206" s="18"/>
    </row>
    <row r="207">
      <c r="C207" s="18"/>
      <c r="D207" s="22"/>
      <c r="E207" s="22"/>
      <c r="F207" s="18"/>
      <c r="J207" s="18"/>
      <c r="M207" s="18"/>
    </row>
    <row r="208">
      <c r="C208" s="18"/>
      <c r="D208" s="22"/>
      <c r="E208" s="22"/>
      <c r="F208" s="18"/>
      <c r="J208" s="18"/>
      <c r="M208" s="18"/>
    </row>
    <row r="209">
      <c r="C209" s="18"/>
      <c r="D209" s="22"/>
      <c r="E209" s="22"/>
      <c r="F209" s="18"/>
      <c r="J209" s="18"/>
      <c r="M209" s="18"/>
    </row>
    <row r="210">
      <c r="C210" s="18"/>
      <c r="D210" s="22"/>
      <c r="E210" s="22"/>
      <c r="F210" s="18"/>
      <c r="J210" s="18"/>
      <c r="M210" s="18"/>
    </row>
    <row r="211">
      <c r="C211" s="18"/>
      <c r="D211" s="22"/>
      <c r="E211" s="22"/>
      <c r="F211" s="18"/>
      <c r="J211" s="18"/>
      <c r="M211" s="18"/>
    </row>
    <row r="212">
      <c r="C212" s="18"/>
      <c r="D212" s="22"/>
      <c r="E212" s="22"/>
      <c r="F212" s="18"/>
      <c r="J212" s="18"/>
      <c r="M212" s="18"/>
    </row>
    <row r="213">
      <c r="C213" s="18"/>
      <c r="D213" s="22"/>
      <c r="E213" s="22"/>
      <c r="F213" s="18"/>
      <c r="J213" s="18"/>
      <c r="M213" s="18"/>
    </row>
    <row r="214">
      <c r="C214" s="18"/>
      <c r="D214" s="22"/>
      <c r="E214" s="22"/>
      <c r="F214" s="18"/>
      <c r="J214" s="18"/>
      <c r="M214" s="18"/>
    </row>
    <row r="215">
      <c r="C215" s="18"/>
      <c r="D215" s="22"/>
      <c r="E215" s="22"/>
      <c r="F215" s="18"/>
      <c r="J215" s="18"/>
      <c r="M215" s="18"/>
    </row>
    <row r="216">
      <c r="C216" s="18"/>
      <c r="D216" s="22"/>
      <c r="E216" s="22"/>
      <c r="F216" s="18"/>
      <c r="J216" s="18"/>
      <c r="M216" s="18"/>
    </row>
    <row r="217">
      <c r="C217" s="18"/>
      <c r="D217" s="22"/>
      <c r="E217" s="22"/>
      <c r="F217" s="18"/>
      <c r="J217" s="18"/>
      <c r="M217" s="18"/>
    </row>
    <row r="218">
      <c r="C218" s="18"/>
      <c r="D218" s="22"/>
      <c r="E218" s="22"/>
      <c r="F218" s="18"/>
      <c r="J218" s="18"/>
      <c r="M218" s="18"/>
    </row>
    <row r="219">
      <c r="C219" s="18"/>
      <c r="D219" s="22"/>
      <c r="E219" s="22"/>
      <c r="F219" s="18"/>
      <c r="J219" s="18"/>
      <c r="M219" s="18"/>
    </row>
    <row r="220">
      <c r="C220" s="18"/>
      <c r="D220" s="22"/>
      <c r="E220" s="22"/>
      <c r="F220" s="18"/>
      <c r="J220" s="18"/>
      <c r="M220" s="18"/>
    </row>
    <row r="221">
      <c r="C221" s="18"/>
      <c r="D221" s="22"/>
      <c r="E221" s="22"/>
      <c r="F221" s="18"/>
      <c r="J221" s="18"/>
      <c r="M221" s="18"/>
    </row>
    <row r="222">
      <c r="C222" s="18"/>
      <c r="D222" s="22"/>
      <c r="E222" s="22"/>
      <c r="F222" s="18"/>
      <c r="J222" s="18"/>
      <c r="M222" s="18"/>
    </row>
    <row r="223">
      <c r="C223" s="18"/>
      <c r="D223" s="22"/>
      <c r="E223" s="22"/>
      <c r="F223" s="18"/>
      <c r="J223" s="18"/>
      <c r="M223" s="18"/>
    </row>
    <row r="224">
      <c r="C224" s="18"/>
      <c r="D224" s="22"/>
      <c r="E224" s="22"/>
      <c r="F224" s="18"/>
      <c r="J224" s="18"/>
      <c r="M224" s="18"/>
    </row>
    <row r="225">
      <c r="C225" s="18"/>
      <c r="D225" s="22"/>
      <c r="E225" s="22"/>
      <c r="F225" s="18"/>
      <c r="J225" s="18"/>
      <c r="M225" s="18"/>
    </row>
    <row r="226">
      <c r="C226" s="18"/>
      <c r="D226" s="22"/>
      <c r="E226" s="22"/>
      <c r="F226" s="18"/>
      <c r="J226" s="18"/>
      <c r="M226" s="18"/>
    </row>
    <row r="227">
      <c r="C227" s="18"/>
      <c r="D227" s="22"/>
      <c r="E227" s="22"/>
      <c r="F227" s="18"/>
      <c r="J227" s="18"/>
      <c r="M227" s="18"/>
    </row>
    <row r="228">
      <c r="C228" s="18"/>
      <c r="D228" s="22"/>
      <c r="E228" s="22"/>
      <c r="F228" s="18"/>
      <c r="J228" s="18"/>
      <c r="M228" s="18"/>
    </row>
    <row r="229">
      <c r="C229" s="18"/>
      <c r="D229" s="22"/>
      <c r="E229" s="22"/>
      <c r="F229" s="18"/>
      <c r="J229" s="18"/>
      <c r="M229" s="18"/>
    </row>
    <row r="230">
      <c r="C230" s="18"/>
      <c r="D230" s="22"/>
      <c r="E230" s="22"/>
      <c r="F230" s="18"/>
      <c r="J230" s="18"/>
      <c r="M230" s="18"/>
    </row>
    <row r="231">
      <c r="C231" s="18"/>
      <c r="D231" s="22"/>
      <c r="E231" s="22"/>
      <c r="F231" s="18"/>
      <c r="J231" s="18"/>
      <c r="M231" s="18"/>
    </row>
    <row r="232">
      <c r="C232" s="18"/>
      <c r="D232" s="22"/>
      <c r="E232" s="22"/>
      <c r="F232" s="18"/>
      <c r="J232" s="18"/>
      <c r="M232" s="18"/>
    </row>
    <row r="233">
      <c r="C233" s="18"/>
      <c r="D233" s="22"/>
      <c r="E233" s="22"/>
      <c r="F233" s="18"/>
      <c r="J233" s="18"/>
      <c r="M233" s="18"/>
    </row>
    <row r="234">
      <c r="C234" s="18"/>
      <c r="D234" s="22"/>
      <c r="E234" s="22"/>
      <c r="F234" s="18"/>
      <c r="J234" s="18"/>
      <c r="M234" s="18"/>
    </row>
    <row r="235">
      <c r="C235" s="18"/>
      <c r="D235" s="22"/>
      <c r="E235" s="22"/>
      <c r="F235" s="18"/>
      <c r="J235" s="18"/>
      <c r="M235" s="18"/>
    </row>
    <row r="236">
      <c r="C236" s="18"/>
      <c r="D236" s="22"/>
      <c r="E236" s="22"/>
      <c r="F236" s="18"/>
      <c r="J236" s="18"/>
      <c r="M236" s="18"/>
    </row>
    <row r="237">
      <c r="C237" s="18"/>
      <c r="D237" s="22"/>
      <c r="E237" s="22"/>
      <c r="F237" s="18"/>
      <c r="J237" s="18"/>
      <c r="M237" s="18"/>
    </row>
    <row r="238">
      <c r="C238" s="18"/>
      <c r="D238" s="22"/>
      <c r="E238" s="22"/>
      <c r="F238" s="18"/>
      <c r="J238" s="18"/>
      <c r="M238" s="18"/>
    </row>
    <row r="239">
      <c r="C239" s="18"/>
      <c r="D239" s="22"/>
      <c r="E239" s="22"/>
      <c r="F239" s="18"/>
      <c r="J239" s="18"/>
      <c r="M239" s="18"/>
    </row>
    <row r="240">
      <c r="C240" s="18"/>
      <c r="D240" s="22"/>
      <c r="E240" s="22"/>
      <c r="F240" s="18"/>
      <c r="J240" s="18"/>
      <c r="M240" s="18"/>
    </row>
    <row r="241">
      <c r="C241" s="18"/>
      <c r="D241" s="22"/>
      <c r="E241" s="22"/>
      <c r="F241" s="18"/>
      <c r="J241" s="18"/>
      <c r="M241" s="18"/>
    </row>
    <row r="242">
      <c r="C242" s="18"/>
      <c r="D242" s="22"/>
      <c r="E242" s="22"/>
      <c r="F242" s="18"/>
      <c r="J242" s="18"/>
      <c r="M242" s="18"/>
    </row>
    <row r="243">
      <c r="C243" s="18"/>
      <c r="D243" s="22"/>
      <c r="E243" s="22"/>
      <c r="F243" s="18"/>
      <c r="J243" s="18"/>
      <c r="M243" s="18"/>
    </row>
    <row r="244">
      <c r="C244" s="18"/>
      <c r="D244" s="22"/>
      <c r="E244" s="22"/>
      <c r="F244" s="18"/>
      <c r="J244" s="18"/>
      <c r="M244" s="18"/>
    </row>
    <row r="245">
      <c r="C245" s="18"/>
      <c r="D245" s="22"/>
      <c r="E245" s="22"/>
      <c r="F245" s="18"/>
      <c r="J245" s="18"/>
      <c r="M245" s="18"/>
    </row>
    <row r="246">
      <c r="C246" s="18"/>
      <c r="D246" s="22"/>
      <c r="E246" s="22"/>
      <c r="F246" s="18"/>
      <c r="J246" s="18"/>
      <c r="M246" s="18"/>
    </row>
    <row r="247">
      <c r="C247" s="18"/>
      <c r="D247" s="22"/>
      <c r="E247" s="22"/>
      <c r="F247" s="18"/>
      <c r="J247" s="18"/>
      <c r="M247" s="18"/>
    </row>
    <row r="248">
      <c r="C248" s="18"/>
      <c r="D248" s="22"/>
      <c r="E248" s="22"/>
      <c r="F248" s="18"/>
      <c r="J248" s="18"/>
      <c r="M248" s="18"/>
    </row>
    <row r="249">
      <c r="C249" s="18"/>
      <c r="D249" s="22"/>
      <c r="E249" s="22"/>
      <c r="F249" s="18"/>
      <c r="J249" s="18"/>
      <c r="M249" s="18"/>
    </row>
    <row r="250">
      <c r="C250" s="18"/>
      <c r="D250" s="22"/>
      <c r="E250" s="22"/>
      <c r="F250" s="18"/>
      <c r="J250" s="18"/>
      <c r="M250" s="18"/>
    </row>
    <row r="251">
      <c r="C251" s="18"/>
      <c r="D251" s="22"/>
      <c r="E251" s="22"/>
      <c r="F251" s="18"/>
      <c r="J251" s="18"/>
      <c r="M251" s="18"/>
    </row>
    <row r="252">
      <c r="C252" s="18"/>
      <c r="D252" s="22"/>
      <c r="E252" s="22"/>
      <c r="F252" s="18"/>
      <c r="J252" s="18"/>
      <c r="M252" s="18"/>
    </row>
    <row r="253">
      <c r="C253" s="18"/>
      <c r="D253" s="22"/>
      <c r="E253" s="22"/>
      <c r="F253" s="18"/>
      <c r="J253" s="18"/>
      <c r="M253" s="18"/>
    </row>
    <row r="254">
      <c r="C254" s="18"/>
      <c r="D254" s="22"/>
      <c r="E254" s="22"/>
      <c r="F254" s="18"/>
      <c r="J254" s="18"/>
      <c r="M254" s="18"/>
    </row>
    <row r="255">
      <c r="C255" s="18"/>
      <c r="D255" s="22"/>
      <c r="E255" s="22"/>
      <c r="F255" s="18"/>
      <c r="J255" s="18"/>
      <c r="M255" s="18"/>
    </row>
    <row r="256">
      <c r="C256" s="18"/>
      <c r="D256" s="22"/>
      <c r="E256" s="22"/>
      <c r="F256" s="18"/>
      <c r="J256" s="18"/>
      <c r="M256" s="18"/>
    </row>
    <row r="257">
      <c r="C257" s="18"/>
      <c r="D257" s="22"/>
      <c r="E257" s="22"/>
      <c r="F257" s="18"/>
      <c r="J257" s="18"/>
      <c r="M257" s="18"/>
    </row>
    <row r="258">
      <c r="C258" s="18"/>
      <c r="D258" s="22"/>
      <c r="E258" s="22"/>
      <c r="F258" s="18"/>
      <c r="J258" s="18"/>
      <c r="M258" s="18"/>
    </row>
    <row r="259">
      <c r="C259" s="18"/>
      <c r="D259" s="22"/>
      <c r="E259" s="22"/>
      <c r="F259" s="18"/>
      <c r="J259" s="18"/>
      <c r="M259" s="18"/>
    </row>
    <row r="260">
      <c r="C260" s="18"/>
      <c r="D260" s="22"/>
      <c r="E260" s="22"/>
      <c r="F260" s="18"/>
      <c r="J260" s="18"/>
      <c r="M260" s="18"/>
    </row>
    <row r="261">
      <c r="C261" s="18"/>
      <c r="D261" s="22"/>
      <c r="E261" s="22"/>
      <c r="F261" s="18"/>
      <c r="J261" s="18"/>
      <c r="M261" s="18"/>
    </row>
    <row r="262">
      <c r="C262" s="18"/>
      <c r="D262" s="22"/>
      <c r="E262" s="22"/>
      <c r="F262" s="18"/>
      <c r="J262" s="18"/>
      <c r="M262" s="18"/>
    </row>
    <row r="263">
      <c r="C263" s="18"/>
      <c r="D263" s="22"/>
      <c r="E263" s="22"/>
      <c r="F263" s="18"/>
      <c r="J263" s="18"/>
      <c r="M263" s="18"/>
    </row>
    <row r="264">
      <c r="C264" s="18"/>
      <c r="D264" s="22"/>
      <c r="E264" s="22"/>
      <c r="F264" s="18"/>
      <c r="J264" s="18"/>
      <c r="M264" s="18"/>
    </row>
    <row r="265">
      <c r="C265" s="18"/>
      <c r="D265" s="22"/>
      <c r="E265" s="22"/>
      <c r="F265" s="18"/>
      <c r="J265" s="18"/>
      <c r="M265" s="18"/>
    </row>
    <row r="266">
      <c r="C266" s="18"/>
      <c r="D266" s="22"/>
      <c r="E266" s="22"/>
      <c r="F266" s="18"/>
      <c r="J266" s="18"/>
      <c r="M266" s="18"/>
    </row>
    <row r="267">
      <c r="C267" s="18"/>
      <c r="D267" s="22"/>
      <c r="E267" s="22"/>
      <c r="F267" s="18"/>
      <c r="J267" s="18"/>
      <c r="M267" s="18"/>
    </row>
    <row r="268">
      <c r="C268" s="18"/>
      <c r="D268" s="22"/>
      <c r="E268" s="22"/>
      <c r="F268" s="18"/>
      <c r="J268" s="18"/>
      <c r="M268" s="18"/>
    </row>
    <row r="269">
      <c r="C269" s="18"/>
      <c r="D269" s="22"/>
      <c r="E269" s="22"/>
      <c r="F269" s="18"/>
      <c r="J269" s="18"/>
      <c r="M269" s="18"/>
    </row>
    <row r="270">
      <c r="C270" s="18"/>
      <c r="D270" s="22"/>
      <c r="E270" s="22"/>
      <c r="F270" s="18"/>
      <c r="J270" s="18"/>
      <c r="M270" s="18"/>
    </row>
    <row r="271">
      <c r="C271" s="18"/>
      <c r="D271" s="22"/>
      <c r="E271" s="22"/>
      <c r="F271" s="18"/>
      <c r="J271" s="18"/>
      <c r="M271" s="18"/>
    </row>
    <row r="272">
      <c r="C272" s="18"/>
      <c r="D272" s="22"/>
      <c r="E272" s="22"/>
      <c r="F272" s="18"/>
      <c r="J272" s="18"/>
      <c r="M272" s="18"/>
    </row>
    <row r="273">
      <c r="C273" s="18"/>
      <c r="D273" s="22"/>
      <c r="E273" s="22"/>
      <c r="F273" s="18"/>
      <c r="J273" s="18"/>
      <c r="M273" s="18"/>
    </row>
    <row r="274">
      <c r="C274" s="18"/>
      <c r="D274" s="22"/>
      <c r="E274" s="22"/>
      <c r="F274" s="18"/>
      <c r="J274" s="18"/>
      <c r="M274" s="18"/>
    </row>
    <row r="275">
      <c r="C275" s="18"/>
      <c r="D275" s="22"/>
      <c r="E275" s="22"/>
      <c r="F275" s="18"/>
      <c r="J275" s="18"/>
      <c r="M275" s="18"/>
    </row>
    <row r="276">
      <c r="C276" s="18"/>
      <c r="D276" s="22"/>
      <c r="E276" s="22"/>
      <c r="F276" s="18"/>
      <c r="J276" s="18"/>
      <c r="M276" s="18"/>
    </row>
    <row r="277">
      <c r="C277" s="18"/>
      <c r="D277" s="22"/>
      <c r="E277" s="22"/>
      <c r="F277" s="18"/>
      <c r="J277" s="18"/>
      <c r="M277" s="18"/>
    </row>
    <row r="278">
      <c r="C278" s="18"/>
      <c r="D278" s="22"/>
      <c r="E278" s="22"/>
      <c r="F278" s="18"/>
      <c r="J278" s="18"/>
      <c r="M278" s="18"/>
    </row>
    <row r="279">
      <c r="C279" s="18"/>
      <c r="D279" s="22"/>
      <c r="E279" s="22"/>
      <c r="F279" s="18"/>
      <c r="J279" s="18"/>
      <c r="M279" s="18"/>
    </row>
    <row r="280">
      <c r="C280" s="18"/>
      <c r="D280" s="22"/>
      <c r="E280" s="22"/>
      <c r="F280" s="18"/>
      <c r="J280" s="18"/>
      <c r="M280" s="18"/>
    </row>
    <row r="281">
      <c r="C281" s="18"/>
      <c r="D281" s="22"/>
      <c r="E281" s="22"/>
      <c r="F281" s="18"/>
      <c r="J281" s="18"/>
      <c r="M281" s="18"/>
    </row>
    <row r="282">
      <c r="C282" s="18"/>
      <c r="D282" s="22"/>
      <c r="E282" s="22"/>
      <c r="F282" s="18"/>
      <c r="J282" s="18"/>
      <c r="M282" s="18"/>
    </row>
    <row r="283">
      <c r="C283" s="18"/>
      <c r="D283" s="22"/>
      <c r="E283" s="22"/>
      <c r="F283" s="18"/>
      <c r="J283" s="18"/>
      <c r="M283" s="18"/>
    </row>
    <row r="284">
      <c r="C284" s="18"/>
      <c r="D284" s="22"/>
      <c r="E284" s="22"/>
      <c r="F284" s="18"/>
      <c r="J284" s="18"/>
      <c r="M284" s="18"/>
    </row>
    <row r="285">
      <c r="C285" s="18"/>
      <c r="D285" s="22"/>
      <c r="E285" s="22"/>
      <c r="F285" s="18"/>
      <c r="J285" s="18"/>
      <c r="M285" s="18"/>
    </row>
    <row r="286">
      <c r="C286" s="18"/>
      <c r="D286" s="22"/>
      <c r="E286" s="22"/>
      <c r="F286" s="18"/>
      <c r="J286" s="18"/>
      <c r="M286" s="18"/>
    </row>
    <row r="287">
      <c r="C287" s="18"/>
      <c r="D287" s="22"/>
      <c r="E287" s="22"/>
      <c r="F287" s="18"/>
      <c r="J287" s="18"/>
      <c r="M287" s="18"/>
    </row>
    <row r="288">
      <c r="C288" s="18"/>
      <c r="D288" s="22"/>
      <c r="E288" s="22"/>
      <c r="F288" s="18"/>
      <c r="J288" s="18"/>
      <c r="M288" s="18"/>
    </row>
    <row r="289">
      <c r="C289" s="18"/>
      <c r="D289" s="22"/>
      <c r="E289" s="22"/>
      <c r="F289" s="18"/>
      <c r="J289" s="18"/>
      <c r="M289" s="18"/>
    </row>
    <row r="290">
      <c r="C290" s="18"/>
      <c r="D290" s="22"/>
      <c r="E290" s="22"/>
      <c r="F290" s="18"/>
      <c r="J290" s="18"/>
      <c r="M290" s="18"/>
    </row>
    <row r="291">
      <c r="C291" s="18"/>
      <c r="D291" s="22"/>
      <c r="E291" s="22"/>
      <c r="F291" s="18"/>
      <c r="J291" s="18"/>
      <c r="M291" s="18"/>
    </row>
    <row r="292">
      <c r="C292" s="18"/>
      <c r="D292" s="22"/>
      <c r="E292" s="22"/>
      <c r="F292" s="18"/>
      <c r="J292" s="18"/>
      <c r="M292" s="18"/>
    </row>
    <row r="293">
      <c r="C293" s="18"/>
      <c r="D293" s="22"/>
      <c r="E293" s="22"/>
      <c r="F293" s="18"/>
      <c r="J293" s="18"/>
      <c r="M293" s="18"/>
    </row>
    <row r="294">
      <c r="C294" s="18"/>
      <c r="D294" s="22"/>
      <c r="E294" s="22"/>
      <c r="F294" s="18"/>
      <c r="J294" s="18"/>
      <c r="M294" s="18"/>
    </row>
    <row r="295">
      <c r="C295" s="18"/>
      <c r="D295" s="22"/>
      <c r="E295" s="22"/>
      <c r="F295" s="18"/>
      <c r="J295" s="18"/>
      <c r="M295" s="18"/>
    </row>
    <row r="296">
      <c r="C296" s="18"/>
      <c r="D296" s="22"/>
      <c r="E296" s="22"/>
      <c r="F296" s="18"/>
      <c r="J296" s="18"/>
      <c r="M296" s="18"/>
    </row>
    <row r="297">
      <c r="C297" s="18"/>
      <c r="D297" s="22"/>
      <c r="E297" s="22"/>
      <c r="F297" s="18"/>
      <c r="J297" s="18"/>
      <c r="M297" s="18"/>
    </row>
    <row r="298">
      <c r="C298" s="18"/>
      <c r="D298" s="22"/>
      <c r="E298" s="22"/>
      <c r="F298" s="18"/>
      <c r="J298" s="18"/>
      <c r="M298" s="18"/>
    </row>
    <row r="299">
      <c r="C299" s="18"/>
      <c r="D299" s="22"/>
      <c r="E299" s="22"/>
      <c r="F299" s="18"/>
      <c r="J299" s="18"/>
      <c r="M299" s="18"/>
    </row>
    <row r="300">
      <c r="C300" s="18"/>
      <c r="D300" s="22"/>
      <c r="E300" s="22"/>
      <c r="F300" s="18"/>
      <c r="J300" s="18"/>
      <c r="M300" s="18"/>
    </row>
    <row r="301">
      <c r="C301" s="18"/>
      <c r="D301" s="22"/>
      <c r="E301" s="22"/>
      <c r="F301" s="18"/>
      <c r="J301" s="18"/>
      <c r="M301" s="18"/>
    </row>
    <row r="302">
      <c r="C302" s="18"/>
      <c r="D302" s="22"/>
      <c r="E302" s="22"/>
      <c r="F302" s="18"/>
      <c r="J302" s="18"/>
      <c r="M302" s="18"/>
    </row>
    <row r="303">
      <c r="C303" s="18"/>
      <c r="D303" s="22"/>
      <c r="E303" s="22"/>
      <c r="F303" s="18"/>
      <c r="J303" s="18"/>
      <c r="M303" s="18"/>
    </row>
    <row r="304">
      <c r="C304" s="18"/>
      <c r="D304" s="22"/>
      <c r="E304" s="22"/>
      <c r="F304" s="18"/>
      <c r="J304" s="18"/>
      <c r="M304" s="18"/>
    </row>
    <row r="305">
      <c r="C305" s="18"/>
      <c r="D305" s="22"/>
      <c r="E305" s="22"/>
      <c r="F305" s="18"/>
      <c r="J305" s="18"/>
      <c r="M305" s="18"/>
    </row>
    <row r="306">
      <c r="C306" s="18"/>
      <c r="D306" s="22"/>
      <c r="E306" s="22"/>
      <c r="F306" s="18"/>
      <c r="J306" s="18"/>
      <c r="M306" s="18"/>
    </row>
    <row r="307">
      <c r="C307" s="18"/>
      <c r="D307" s="22"/>
      <c r="E307" s="22"/>
      <c r="F307" s="18"/>
      <c r="J307" s="18"/>
      <c r="M307" s="18"/>
    </row>
    <row r="308">
      <c r="C308" s="18"/>
      <c r="D308" s="22"/>
      <c r="E308" s="22"/>
      <c r="F308" s="18"/>
      <c r="J308" s="18"/>
      <c r="M308" s="18"/>
    </row>
    <row r="309">
      <c r="C309" s="18"/>
      <c r="D309" s="22"/>
      <c r="E309" s="22"/>
      <c r="F309" s="18"/>
      <c r="J309" s="18"/>
      <c r="M309" s="18"/>
    </row>
    <row r="310">
      <c r="C310" s="18"/>
      <c r="D310" s="22"/>
      <c r="E310" s="22"/>
      <c r="F310" s="18"/>
      <c r="J310" s="18"/>
      <c r="M310" s="18"/>
    </row>
    <row r="311">
      <c r="C311" s="18"/>
      <c r="D311" s="22"/>
      <c r="E311" s="22"/>
      <c r="F311" s="18"/>
      <c r="J311" s="18"/>
      <c r="M311" s="18"/>
    </row>
    <row r="312">
      <c r="C312" s="18"/>
      <c r="D312" s="22"/>
      <c r="E312" s="22"/>
      <c r="F312" s="18"/>
      <c r="J312" s="18"/>
      <c r="M312" s="18"/>
    </row>
    <row r="313">
      <c r="C313" s="18"/>
      <c r="D313" s="22"/>
      <c r="E313" s="22"/>
      <c r="F313" s="18"/>
      <c r="J313" s="18"/>
      <c r="M313" s="18"/>
    </row>
    <row r="314">
      <c r="C314" s="18"/>
      <c r="D314" s="22"/>
      <c r="E314" s="22"/>
      <c r="F314" s="18"/>
      <c r="J314" s="18"/>
      <c r="M314" s="18"/>
    </row>
    <row r="315">
      <c r="C315" s="18"/>
      <c r="D315" s="22"/>
      <c r="E315" s="22"/>
      <c r="F315" s="18"/>
      <c r="J315" s="18"/>
      <c r="M315" s="18"/>
    </row>
    <row r="316">
      <c r="C316" s="18"/>
      <c r="D316" s="22"/>
      <c r="E316" s="22"/>
      <c r="F316" s="18"/>
      <c r="J316" s="18"/>
      <c r="M316" s="18"/>
    </row>
    <row r="317">
      <c r="C317" s="18"/>
      <c r="D317" s="22"/>
      <c r="E317" s="22"/>
      <c r="F317" s="18"/>
      <c r="J317" s="18"/>
      <c r="M317" s="18"/>
    </row>
    <row r="318">
      <c r="C318" s="18"/>
      <c r="D318" s="22"/>
      <c r="E318" s="22"/>
      <c r="F318" s="18"/>
      <c r="J318" s="18"/>
      <c r="M318" s="18"/>
    </row>
    <row r="319">
      <c r="C319" s="18"/>
      <c r="D319" s="22"/>
      <c r="E319" s="22"/>
      <c r="F319" s="18"/>
      <c r="J319" s="18"/>
      <c r="M319" s="18"/>
    </row>
    <row r="320">
      <c r="C320" s="18"/>
      <c r="D320" s="22"/>
      <c r="E320" s="22"/>
      <c r="F320" s="18"/>
      <c r="J320" s="18"/>
      <c r="M320" s="18"/>
    </row>
    <row r="321">
      <c r="C321" s="18"/>
      <c r="D321" s="22"/>
      <c r="E321" s="22"/>
      <c r="F321" s="18"/>
      <c r="J321" s="18"/>
      <c r="M321" s="18"/>
    </row>
    <row r="322">
      <c r="C322" s="18"/>
      <c r="D322" s="22"/>
      <c r="E322" s="22"/>
      <c r="F322" s="18"/>
      <c r="J322" s="18"/>
      <c r="M322" s="18"/>
    </row>
    <row r="323">
      <c r="C323" s="18"/>
      <c r="D323" s="22"/>
      <c r="E323" s="22"/>
      <c r="F323" s="18"/>
      <c r="J323" s="18"/>
      <c r="M323" s="18"/>
    </row>
    <row r="324">
      <c r="C324" s="18"/>
      <c r="D324" s="22"/>
      <c r="E324" s="22"/>
      <c r="F324" s="18"/>
      <c r="J324" s="18"/>
      <c r="M324" s="18"/>
    </row>
    <row r="325">
      <c r="C325" s="18"/>
      <c r="D325" s="22"/>
      <c r="E325" s="22"/>
      <c r="F325" s="18"/>
      <c r="J325" s="18"/>
      <c r="M325" s="18"/>
    </row>
    <row r="326">
      <c r="C326" s="18"/>
      <c r="D326" s="22"/>
      <c r="E326" s="22"/>
      <c r="F326" s="18"/>
      <c r="J326" s="18"/>
      <c r="M326" s="18"/>
    </row>
    <row r="327">
      <c r="C327" s="18"/>
      <c r="D327" s="22"/>
      <c r="E327" s="22"/>
      <c r="F327" s="18"/>
      <c r="J327" s="18"/>
      <c r="M327" s="18"/>
    </row>
    <row r="328">
      <c r="C328" s="18"/>
      <c r="D328" s="22"/>
      <c r="E328" s="22"/>
      <c r="F328" s="18"/>
      <c r="J328" s="18"/>
      <c r="M328" s="18"/>
    </row>
    <row r="329">
      <c r="C329" s="18"/>
      <c r="D329" s="22"/>
      <c r="E329" s="22"/>
      <c r="F329" s="18"/>
      <c r="J329" s="18"/>
      <c r="M329" s="18"/>
    </row>
    <row r="330">
      <c r="C330" s="18"/>
      <c r="D330" s="22"/>
      <c r="E330" s="22"/>
      <c r="F330" s="18"/>
      <c r="J330" s="18"/>
      <c r="M330" s="18"/>
    </row>
    <row r="331">
      <c r="C331" s="18"/>
      <c r="D331" s="22"/>
      <c r="E331" s="22"/>
      <c r="F331" s="18"/>
      <c r="J331" s="18"/>
      <c r="M331" s="18"/>
    </row>
    <row r="332">
      <c r="C332" s="18"/>
      <c r="D332" s="22"/>
      <c r="E332" s="22"/>
      <c r="F332" s="18"/>
      <c r="J332" s="18"/>
      <c r="M332" s="18"/>
    </row>
    <row r="333">
      <c r="C333" s="18"/>
      <c r="D333" s="22"/>
      <c r="E333" s="22"/>
      <c r="F333" s="18"/>
      <c r="J333" s="18"/>
      <c r="M333" s="18"/>
    </row>
    <row r="334">
      <c r="C334" s="18"/>
      <c r="D334" s="22"/>
      <c r="E334" s="22"/>
      <c r="F334" s="18"/>
      <c r="J334" s="18"/>
      <c r="M334" s="18"/>
    </row>
    <row r="335">
      <c r="C335" s="18"/>
      <c r="D335" s="22"/>
      <c r="E335" s="22"/>
      <c r="F335" s="18"/>
      <c r="J335" s="18"/>
      <c r="M335" s="18"/>
    </row>
    <row r="336">
      <c r="C336" s="18"/>
      <c r="D336" s="22"/>
      <c r="E336" s="22"/>
      <c r="F336" s="18"/>
      <c r="J336" s="18"/>
      <c r="M336" s="18"/>
    </row>
    <row r="337">
      <c r="C337" s="18"/>
      <c r="D337" s="22"/>
      <c r="E337" s="22"/>
      <c r="F337" s="18"/>
      <c r="J337" s="18"/>
      <c r="M337" s="18"/>
    </row>
    <row r="338">
      <c r="C338" s="18"/>
      <c r="D338" s="22"/>
      <c r="E338" s="22"/>
      <c r="F338" s="18"/>
      <c r="J338" s="18"/>
      <c r="M338" s="18"/>
    </row>
    <row r="339">
      <c r="C339" s="18"/>
      <c r="D339" s="22"/>
      <c r="E339" s="22"/>
      <c r="F339" s="18"/>
      <c r="J339" s="18"/>
      <c r="M339" s="18"/>
    </row>
    <row r="340">
      <c r="C340" s="18"/>
      <c r="D340" s="22"/>
      <c r="E340" s="22"/>
      <c r="F340" s="18"/>
      <c r="J340" s="18"/>
      <c r="M340" s="18"/>
    </row>
    <row r="341">
      <c r="C341" s="18"/>
      <c r="D341" s="22"/>
      <c r="E341" s="22"/>
      <c r="F341" s="18"/>
      <c r="J341" s="18"/>
      <c r="M341" s="18"/>
    </row>
    <row r="342">
      <c r="C342" s="18"/>
      <c r="D342" s="22"/>
      <c r="E342" s="22"/>
      <c r="F342" s="18"/>
      <c r="J342" s="18"/>
      <c r="M342" s="18"/>
    </row>
    <row r="343">
      <c r="C343" s="18"/>
      <c r="D343" s="22"/>
      <c r="E343" s="22"/>
      <c r="F343" s="18"/>
      <c r="J343" s="18"/>
      <c r="M343" s="18"/>
    </row>
    <row r="344">
      <c r="C344" s="18"/>
      <c r="D344" s="22"/>
      <c r="E344" s="22"/>
      <c r="F344" s="18"/>
      <c r="J344" s="18"/>
      <c r="M344" s="18"/>
    </row>
    <row r="345">
      <c r="C345" s="18"/>
      <c r="D345" s="22"/>
      <c r="E345" s="22"/>
      <c r="F345" s="18"/>
      <c r="J345" s="18"/>
      <c r="M345" s="18"/>
    </row>
    <row r="346">
      <c r="C346" s="18"/>
      <c r="D346" s="22"/>
      <c r="E346" s="22"/>
      <c r="F346" s="18"/>
      <c r="J346" s="18"/>
      <c r="M346" s="18"/>
    </row>
    <row r="347">
      <c r="C347" s="18"/>
      <c r="D347" s="22"/>
      <c r="E347" s="22"/>
      <c r="F347" s="18"/>
      <c r="J347" s="18"/>
      <c r="M347" s="18"/>
    </row>
    <row r="348">
      <c r="C348" s="18"/>
      <c r="D348" s="22"/>
      <c r="E348" s="22"/>
      <c r="F348" s="18"/>
      <c r="J348" s="18"/>
      <c r="M348" s="18"/>
    </row>
    <row r="349">
      <c r="C349" s="18"/>
      <c r="D349" s="22"/>
      <c r="E349" s="22"/>
      <c r="F349" s="18"/>
      <c r="J349" s="18"/>
      <c r="M349" s="18"/>
    </row>
    <row r="350">
      <c r="C350" s="18"/>
      <c r="D350" s="22"/>
      <c r="E350" s="22"/>
      <c r="F350" s="18"/>
      <c r="J350" s="18"/>
      <c r="M350" s="18"/>
    </row>
    <row r="351">
      <c r="C351" s="18"/>
      <c r="D351" s="22"/>
      <c r="E351" s="22"/>
      <c r="F351" s="18"/>
      <c r="J351" s="18"/>
      <c r="M351" s="18"/>
    </row>
    <row r="352">
      <c r="C352" s="18"/>
      <c r="D352" s="22"/>
      <c r="E352" s="22"/>
      <c r="F352" s="18"/>
      <c r="J352" s="18"/>
      <c r="M352" s="18"/>
    </row>
    <row r="353">
      <c r="C353" s="18"/>
      <c r="D353" s="22"/>
      <c r="E353" s="22"/>
      <c r="F353" s="18"/>
      <c r="J353" s="18"/>
      <c r="M353" s="18"/>
    </row>
    <row r="354">
      <c r="C354" s="18"/>
      <c r="D354" s="22"/>
      <c r="E354" s="22"/>
      <c r="F354" s="18"/>
      <c r="J354" s="18"/>
      <c r="M354" s="18"/>
    </row>
    <row r="355">
      <c r="C355" s="18"/>
      <c r="D355" s="22"/>
      <c r="E355" s="22"/>
      <c r="F355" s="18"/>
      <c r="J355" s="18"/>
      <c r="M355" s="18"/>
    </row>
    <row r="356">
      <c r="C356" s="18"/>
      <c r="D356" s="22"/>
      <c r="E356" s="22"/>
      <c r="F356" s="18"/>
      <c r="J356" s="18"/>
      <c r="M356" s="18"/>
    </row>
    <row r="357">
      <c r="C357" s="18"/>
      <c r="D357" s="22"/>
      <c r="E357" s="22"/>
      <c r="F357" s="18"/>
      <c r="J357" s="18"/>
      <c r="M357" s="18"/>
    </row>
    <row r="358">
      <c r="C358" s="18"/>
      <c r="D358" s="22"/>
      <c r="E358" s="22"/>
      <c r="F358" s="18"/>
      <c r="J358" s="18"/>
      <c r="M358" s="18"/>
    </row>
    <row r="359">
      <c r="C359" s="18"/>
      <c r="D359" s="22"/>
      <c r="E359" s="22"/>
      <c r="F359" s="18"/>
      <c r="J359" s="18"/>
      <c r="M359" s="18"/>
    </row>
    <row r="360">
      <c r="C360" s="18"/>
      <c r="D360" s="22"/>
      <c r="E360" s="22"/>
      <c r="F360" s="18"/>
      <c r="J360" s="18"/>
      <c r="M360" s="18"/>
    </row>
    <row r="361">
      <c r="C361" s="18"/>
      <c r="D361" s="22"/>
      <c r="E361" s="22"/>
      <c r="F361" s="18"/>
      <c r="J361" s="18"/>
      <c r="M361" s="18"/>
    </row>
    <row r="362">
      <c r="C362" s="18"/>
      <c r="D362" s="22"/>
      <c r="E362" s="22"/>
      <c r="F362" s="18"/>
      <c r="J362" s="18"/>
      <c r="M362" s="18"/>
    </row>
    <row r="363">
      <c r="C363" s="18"/>
      <c r="D363" s="22"/>
      <c r="E363" s="22"/>
      <c r="F363" s="18"/>
      <c r="J363" s="18"/>
      <c r="M363" s="18"/>
    </row>
    <row r="364">
      <c r="C364" s="18"/>
      <c r="D364" s="22"/>
      <c r="E364" s="22"/>
      <c r="F364" s="18"/>
      <c r="J364" s="18"/>
      <c r="M364" s="18"/>
    </row>
    <row r="365">
      <c r="C365" s="18"/>
      <c r="D365" s="22"/>
      <c r="E365" s="22"/>
      <c r="F365" s="18"/>
      <c r="J365" s="18"/>
      <c r="M365" s="18"/>
    </row>
    <row r="366">
      <c r="C366" s="18"/>
      <c r="D366" s="22"/>
      <c r="E366" s="22"/>
      <c r="F366" s="18"/>
      <c r="J366" s="18"/>
      <c r="M366" s="18"/>
    </row>
    <row r="367">
      <c r="C367" s="18"/>
      <c r="D367" s="22"/>
      <c r="E367" s="22"/>
      <c r="F367" s="18"/>
      <c r="J367" s="18"/>
      <c r="M367" s="18"/>
    </row>
    <row r="368">
      <c r="C368" s="18"/>
      <c r="D368" s="22"/>
      <c r="E368" s="22"/>
      <c r="F368" s="18"/>
      <c r="J368" s="18"/>
      <c r="M368" s="18"/>
    </row>
    <row r="369">
      <c r="C369" s="18"/>
      <c r="D369" s="22"/>
      <c r="E369" s="22"/>
      <c r="F369" s="18"/>
      <c r="J369" s="18"/>
      <c r="M369" s="18"/>
    </row>
    <row r="370">
      <c r="C370" s="18"/>
      <c r="D370" s="22"/>
      <c r="E370" s="22"/>
      <c r="F370" s="18"/>
      <c r="J370" s="18"/>
      <c r="M370" s="18"/>
    </row>
    <row r="371">
      <c r="C371" s="18"/>
      <c r="D371" s="22"/>
      <c r="E371" s="22"/>
      <c r="F371" s="18"/>
      <c r="J371" s="18"/>
      <c r="M371" s="18"/>
    </row>
    <row r="372">
      <c r="C372" s="18"/>
      <c r="D372" s="22"/>
      <c r="E372" s="22"/>
      <c r="F372" s="18"/>
      <c r="J372" s="18"/>
      <c r="M372" s="18"/>
    </row>
    <row r="373">
      <c r="C373" s="18"/>
      <c r="D373" s="22"/>
      <c r="E373" s="22"/>
      <c r="F373" s="18"/>
      <c r="J373" s="18"/>
      <c r="M373" s="18"/>
    </row>
    <row r="374">
      <c r="C374" s="18"/>
      <c r="D374" s="22"/>
      <c r="E374" s="22"/>
      <c r="F374" s="18"/>
      <c r="J374" s="18"/>
      <c r="M374" s="18"/>
    </row>
    <row r="375">
      <c r="C375" s="18"/>
      <c r="D375" s="22"/>
      <c r="E375" s="22"/>
      <c r="F375" s="18"/>
      <c r="J375" s="18"/>
      <c r="M375" s="18"/>
    </row>
    <row r="376">
      <c r="C376" s="18"/>
      <c r="D376" s="22"/>
      <c r="E376" s="22"/>
      <c r="F376" s="18"/>
      <c r="J376" s="18"/>
      <c r="M376" s="18"/>
    </row>
    <row r="377">
      <c r="C377" s="18"/>
      <c r="D377" s="22"/>
      <c r="E377" s="22"/>
      <c r="F377" s="18"/>
      <c r="J377" s="18"/>
      <c r="M377" s="18"/>
    </row>
    <row r="378">
      <c r="C378" s="18"/>
      <c r="D378" s="22"/>
      <c r="E378" s="22"/>
      <c r="F378" s="18"/>
      <c r="J378" s="18"/>
      <c r="M378" s="18"/>
    </row>
    <row r="379">
      <c r="C379" s="18"/>
      <c r="D379" s="22"/>
      <c r="E379" s="22"/>
      <c r="F379" s="18"/>
      <c r="J379" s="18"/>
      <c r="M379" s="18"/>
    </row>
    <row r="380">
      <c r="C380" s="18"/>
      <c r="D380" s="22"/>
      <c r="E380" s="22"/>
      <c r="F380" s="18"/>
      <c r="J380" s="18"/>
      <c r="M380" s="18"/>
    </row>
    <row r="381">
      <c r="C381" s="18"/>
      <c r="D381" s="22"/>
      <c r="E381" s="22"/>
      <c r="F381" s="18"/>
      <c r="J381" s="18"/>
      <c r="M381" s="18"/>
    </row>
    <row r="382">
      <c r="C382" s="18"/>
      <c r="D382" s="22"/>
      <c r="E382" s="22"/>
      <c r="F382" s="18"/>
      <c r="J382" s="18"/>
      <c r="M382" s="18"/>
    </row>
    <row r="383">
      <c r="C383" s="18"/>
      <c r="D383" s="22"/>
      <c r="E383" s="22"/>
      <c r="F383" s="18"/>
      <c r="J383" s="18"/>
      <c r="M383" s="18"/>
    </row>
    <row r="384">
      <c r="C384" s="18"/>
      <c r="D384" s="22"/>
      <c r="E384" s="22"/>
      <c r="F384" s="18"/>
      <c r="J384" s="18"/>
      <c r="M384" s="18"/>
    </row>
    <row r="385">
      <c r="C385" s="18"/>
      <c r="D385" s="22"/>
      <c r="E385" s="22"/>
      <c r="F385" s="18"/>
      <c r="J385" s="18"/>
      <c r="M385" s="18"/>
    </row>
    <row r="386">
      <c r="C386" s="18"/>
      <c r="D386" s="22"/>
      <c r="E386" s="22"/>
      <c r="F386" s="18"/>
      <c r="J386" s="18"/>
      <c r="M386" s="18"/>
    </row>
    <row r="387">
      <c r="C387" s="18"/>
      <c r="D387" s="22"/>
      <c r="E387" s="22"/>
      <c r="F387" s="18"/>
      <c r="J387" s="18"/>
      <c r="M387" s="18"/>
    </row>
    <row r="388">
      <c r="C388" s="18"/>
      <c r="D388" s="22"/>
      <c r="E388" s="22"/>
      <c r="F388" s="18"/>
      <c r="J388" s="18"/>
      <c r="M388" s="18"/>
    </row>
    <row r="389">
      <c r="C389" s="18"/>
      <c r="D389" s="22"/>
      <c r="E389" s="22"/>
      <c r="F389" s="18"/>
      <c r="J389" s="18"/>
      <c r="M389" s="18"/>
    </row>
    <row r="390">
      <c r="C390" s="18"/>
      <c r="D390" s="22"/>
      <c r="E390" s="22"/>
      <c r="F390" s="18"/>
      <c r="J390" s="18"/>
      <c r="M390" s="18"/>
    </row>
    <row r="391">
      <c r="C391" s="18"/>
      <c r="D391" s="22"/>
      <c r="E391" s="22"/>
      <c r="F391" s="18"/>
      <c r="J391" s="18"/>
      <c r="M391" s="18"/>
    </row>
    <row r="392">
      <c r="C392" s="18"/>
      <c r="D392" s="22"/>
      <c r="E392" s="22"/>
      <c r="F392" s="18"/>
      <c r="J392" s="18"/>
      <c r="M392" s="18"/>
    </row>
    <row r="393">
      <c r="C393" s="18"/>
      <c r="D393" s="22"/>
      <c r="E393" s="22"/>
      <c r="F393" s="18"/>
      <c r="J393" s="18"/>
      <c r="M393" s="18"/>
    </row>
    <row r="394">
      <c r="C394" s="18"/>
      <c r="D394" s="22"/>
      <c r="E394" s="22"/>
      <c r="F394" s="18"/>
      <c r="J394" s="18"/>
      <c r="M394" s="18"/>
    </row>
    <row r="395">
      <c r="C395" s="18"/>
      <c r="D395" s="22"/>
      <c r="E395" s="22"/>
      <c r="F395" s="18"/>
      <c r="J395" s="18"/>
      <c r="M395" s="18"/>
    </row>
    <row r="396">
      <c r="C396" s="18"/>
      <c r="D396" s="22"/>
      <c r="E396" s="22"/>
      <c r="F396" s="18"/>
      <c r="J396" s="18"/>
      <c r="M396" s="18"/>
    </row>
    <row r="397">
      <c r="C397" s="18"/>
      <c r="D397" s="22"/>
      <c r="E397" s="22"/>
      <c r="F397" s="18"/>
      <c r="J397" s="18"/>
      <c r="M397" s="18"/>
    </row>
    <row r="398">
      <c r="C398" s="18"/>
      <c r="D398" s="22"/>
      <c r="E398" s="22"/>
      <c r="F398" s="18"/>
      <c r="J398" s="18"/>
      <c r="M398" s="18"/>
    </row>
    <row r="399">
      <c r="C399" s="18"/>
      <c r="D399" s="22"/>
      <c r="E399" s="22"/>
      <c r="F399" s="18"/>
      <c r="J399" s="18"/>
      <c r="M399" s="18"/>
    </row>
    <row r="400">
      <c r="C400" s="18"/>
      <c r="D400" s="22"/>
      <c r="E400" s="22"/>
      <c r="F400" s="18"/>
      <c r="J400" s="18"/>
      <c r="M400" s="18"/>
    </row>
    <row r="401">
      <c r="C401" s="18"/>
      <c r="D401" s="22"/>
      <c r="E401" s="22"/>
      <c r="F401" s="18"/>
      <c r="J401" s="18"/>
      <c r="M401" s="18"/>
    </row>
    <row r="402">
      <c r="C402" s="18"/>
      <c r="D402" s="22"/>
      <c r="E402" s="22"/>
      <c r="F402" s="18"/>
      <c r="J402" s="18"/>
      <c r="M402" s="18"/>
    </row>
    <row r="403">
      <c r="C403" s="18"/>
      <c r="D403" s="22"/>
      <c r="E403" s="22"/>
      <c r="F403" s="18"/>
      <c r="J403" s="18"/>
      <c r="M403" s="18"/>
    </row>
    <row r="404">
      <c r="C404" s="18"/>
      <c r="D404" s="22"/>
      <c r="E404" s="22"/>
      <c r="F404" s="18"/>
      <c r="J404" s="18"/>
      <c r="M404" s="18"/>
    </row>
    <row r="405">
      <c r="C405" s="18"/>
      <c r="D405" s="22"/>
      <c r="E405" s="22"/>
      <c r="F405" s="18"/>
      <c r="J405" s="18"/>
      <c r="M405" s="18"/>
    </row>
    <row r="406">
      <c r="C406" s="18"/>
      <c r="D406" s="22"/>
      <c r="E406" s="22"/>
      <c r="F406" s="18"/>
      <c r="J406" s="18"/>
      <c r="M406" s="18"/>
    </row>
    <row r="407">
      <c r="C407" s="18"/>
      <c r="D407" s="22"/>
      <c r="E407" s="22"/>
      <c r="F407" s="18"/>
      <c r="J407" s="18"/>
      <c r="M407" s="18"/>
    </row>
    <row r="408">
      <c r="C408" s="18"/>
      <c r="D408" s="22"/>
      <c r="E408" s="22"/>
      <c r="F408" s="18"/>
      <c r="J408" s="18"/>
      <c r="M408" s="18"/>
    </row>
    <row r="409">
      <c r="C409" s="18"/>
      <c r="D409" s="22"/>
      <c r="E409" s="22"/>
      <c r="F409" s="18"/>
      <c r="J409" s="18"/>
      <c r="M409" s="18"/>
    </row>
    <row r="410">
      <c r="C410" s="18"/>
      <c r="D410" s="22"/>
      <c r="E410" s="22"/>
      <c r="F410" s="18"/>
      <c r="J410" s="18"/>
      <c r="M410" s="18"/>
    </row>
    <row r="411">
      <c r="C411" s="18"/>
      <c r="D411" s="22"/>
      <c r="E411" s="22"/>
      <c r="F411" s="18"/>
      <c r="J411" s="18"/>
      <c r="M411" s="18"/>
    </row>
    <row r="412">
      <c r="C412" s="18"/>
      <c r="D412" s="22"/>
      <c r="E412" s="22"/>
      <c r="F412" s="18"/>
      <c r="J412" s="18"/>
      <c r="M412" s="18"/>
    </row>
    <row r="413">
      <c r="C413" s="18"/>
      <c r="D413" s="22"/>
      <c r="E413" s="22"/>
      <c r="F413" s="18"/>
      <c r="J413" s="18"/>
      <c r="M413" s="18"/>
    </row>
    <row r="414">
      <c r="C414" s="18"/>
      <c r="D414" s="22"/>
      <c r="E414" s="22"/>
      <c r="F414" s="18"/>
      <c r="J414" s="18"/>
      <c r="M414" s="18"/>
    </row>
    <row r="415">
      <c r="C415" s="18"/>
      <c r="D415" s="22"/>
      <c r="E415" s="22"/>
      <c r="F415" s="18"/>
      <c r="J415" s="18"/>
      <c r="M415" s="18"/>
    </row>
    <row r="416">
      <c r="C416" s="18"/>
      <c r="D416" s="22"/>
      <c r="E416" s="22"/>
      <c r="F416" s="18"/>
      <c r="J416" s="18"/>
      <c r="M416" s="18"/>
    </row>
    <row r="417">
      <c r="C417" s="18"/>
      <c r="D417" s="22"/>
      <c r="E417" s="22"/>
      <c r="F417" s="18"/>
      <c r="J417" s="18"/>
      <c r="M417" s="18"/>
    </row>
    <row r="418">
      <c r="C418" s="18"/>
      <c r="D418" s="22"/>
      <c r="E418" s="22"/>
      <c r="F418" s="18"/>
      <c r="J418" s="18"/>
      <c r="M418" s="18"/>
    </row>
    <row r="419">
      <c r="C419" s="18"/>
      <c r="D419" s="22"/>
      <c r="E419" s="22"/>
      <c r="F419" s="18"/>
      <c r="J419" s="18"/>
      <c r="M419" s="18"/>
    </row>
    <row r="420">
      <c r="C420" s="18"/>
      <c r="D420" s="22"/>
      <c r="E420" s="22"/>
      <c r="F420" s="18"/>
      <c r="J420" s="18"/>
      <c r="M420" s="18"/>
    </row>
    <row r="421">
      <c r="C421" s="18"/>
      <c r="D421" s="22"/>
      <c r="E421" s="22"/>
      <c r="F421" s="18"/>
      <c r="J421" s="18"/>
      <c r="M421" s="18"/>
    </row>
    <row r="422">
      <c r="C422" s="18"/>
      <c r="D422" s="22"/>
      <c r="E422" s="22"/>
      <c r="F422" s="18"/>
      <c r="J422" s="18"/>
      <c r="M422" s="18"/>
    </row>
    <row r="423">
      <c r="C423" s="18"/>
      <c r="D423" s="22"/>
      <c r="E423" s="22"/>
      <c r="F423" s="18"/>
      <c r="J423" s="18"/>
      <c r="M423" s="18"/>
    </row>
    <row r="424">
      <c r="C424" s="18"/>
      <c r="D424" s="22"/>
      <c r="E424" s="22"/>
      <c r="F424" s="18"/>
      <c r="J424" s="18"/>
      <c r="M424" s="18"/>
    </row>
    <row r="425">
      <c r="C425" s="18"/>
      <c r="D425" s="22"/>
      <c r="E425" s="22"/>
      <c r="F425" s="18"/>
      <c r="J425" s="18"/>
      <c r="M425" s="18"/>
    </row>
    <row r="426">
      <c r="C426" s="18"/>
      <c r="D426" s="22"/>
      <c r="E426" s="22"/>
      <c r="F426" s="18"/>
      <c r="J426" s="18"/>
      <c r="M426" s="18"/>
    </row>
    <row r="427">
      <c r="C427" s="18"/>
      <c r="D427" s="22"/>
      <c r="E427" s="22"/>
      <c r="F427" s="18"/>
      <c r="J427" s="18"/>
      <c r="M427" s="18"/>
    </row>
    <row r="428">
      <c r="C428" s="18"/>
      <c r="D428" s="22"/>
      <c r="E428" s="22"/>
      <c r="F428" s="18"/>
      <c r="J428" s="18"/>
      <c r="M428" s="18"/>
    </row>
    <row r="429">
      <c r="C429" s="18"/>
      <c r="D429" s="22"/>
      <c r="E429" s="22"/>
      <c r="F429" s="18"/>
      <c r="J429" s="18"/>
      <c r="M429" s="18"/>
    </row>
    <row r="430">
      <c r="C430" s="18"/>
      <c r="D430" s="22"/>
      <c r="E430" s="22"/>
      <c r="F430" s="18"/>
      <c r="J430" s="18"/>
      <c r="M430" s="18"/>
    </row>
    <row r="431">
      <c r="C431" s="18"/>
      <c r="D431" s="22"/>
      <c r="E431" s="22"/>
      <c r="F431" s="18"/>
      <c r="J431" s="18"/>
      <c r="M431" s="18"/>
    </row>
    <row r="432">
      <c r="C432" s="18"/>
      <c r="D432" s="22"/>
      <c r="E432" s="22"/>
      <c r="F432" s="18"/>
      <c r="J432" s="18"/>
      <c r="M432" s="18"/>
    </row>
    <row r="433">
      <c r="C433" s="18"/>
      <c r="D433" s="22"/>
      <c r="E433" s="22"/>
      <c r="F433" s="18"/>
      <c r="J433" s="18"/>
      <c r="M433" s="18"/>
    </row>
    <row r="434">
      <c r="C434" s="18"/>
      <c r="D434" s="22"/>
      <c r="E434" s="22"/>
      <c r="F434" s="18"/>
      <c r="J434" s="18"/>
      <c r="M434" s="18"/>
    </row>
    <row r="435">
      <c r="C435" s="18"/>
      <c r="D435" s="22"/>
      <c r="E435" s="22"/>
      <c r="F435" s="18"/>
      <c r="J435" s="18"/>
      <c r="M435" s="18"/>
    </row>
    <row r="436">
      <c r="C436" s="18"/>
      <c r="D436" s="22"/>
      <c r="E436" s="22"/>
      <c r="F436" s="18"/>
      <c r="J436" s="18"/>
      <c r="M436" s="18"/>
    </row>
    <row r="437">
      <c r="C437" s="18"/>
      <c r="D437" s="22"/>
      <c r="E437" s="22"/>
      <c r="F437" s="18"/>
      <c r="J437" s="18"/>
      <c r="M437" s="18"/>
    </row>
    <row r="438">
      <c r="C438" s="18"/>
      <c r="D438" s="22"/>
      <c r="E438" s="22"/>
      <c r="F438" s="18"/>
      <c r="J438" s="18"/>
      <c r="M438" s="18"/>
    </row>
    <row r="439">
      <c r="C439" s="18"/>
      <c r="D439" s="22"/>
      <c r="E439" s="22"/>
      <c r="F439" s="18"/>
      <c r="J439" s="18"/>
      <c r="M439" s="18"/>
    </row>
    <row r="440">
      <c r="C440" s="18"/>
      <c r="D440" s="22"/>
      <c r="E440" s="22"/>
      <c r="F440" s="18"/>
      <c r="J440" s="18"/>
      <c r="M440" s="18"/>
    </row>
    <row r="441">
      <c r="C441" s="18"/>
      <c r="D441" s="22"/>
      <c r="E441" s="22"/>
      <c r="F441" s="18"/>
      <c r="J441" s="18"/>
      <c r="M441" s="18"/>
    </row>
    <row r="442">
      <c r="C442" s="18"/>
      <c r="D442" s="22"/>
      <c r="E442" s="22"/>
      <c r="F442" s="18"/>
      <c r="J442" s="18"/>
      <c r="M442" s="18"/>
    </row>
    <row r="443">
      <c r="C443" s="18"/>
      <c r="D443" s="22"/>
      <c r="E443" s="22"/>
      <c r="F443" s="18"/>
      <c r="J443" s="18"/>
      <c r="M443" s="18"/>
    </row>
    <row r="444">
      <c r="C444" s="18"/>
      <c r="D444" s="22"/>
      <c r="E444" s="22"/>
      <c r="F444" s="18"/>
      <c r="J444" s="18"/>
      <c r="M444" s="18"/>
    </row>
    <row r="445">
      <c r="C445" s="18"/>
      <c r="D445" s="22"/>
      <c r="E445" s="22"/>
      <c r="F445" s="18"/>
      <c r="J445" s="18"/>
      <c r="M445" s="18"/>
    </row>
    <row r="446">
      <c r="C446" s="18"/>
      <c r="D446" s="22"/>
      <c r="E446" s="22"/>
      <c r="F446" s="18"/>
      <c r="J446" s="18"/>
      <c r="M446" s="18"/>
    </row>
    <row r="447">
      <c r="C447" s="18"/>
      <c r="D447" s="22"/>
      <c r="E447" s="22"/>
      <c r="F447" s="18"/>
      <c r="J447" s="18"/>
      <c r="M447" s="18"/>
    </row>
    <row r="448">
      <c r="C448" s="18"/>
      <c r="D448" s="22"/>
      <c r="E448" s="22"/>
      <c r="F448" s="18"/>
      <c r="J448" s="18"/>
      <c r="M448" s="18"/>
    </row>
    <row r="449">
      <c r="C449" s="18"/>
      <c r="D449" s="22"/>
      <c r="E449" s="22"/>
      <c r="F449" s="18"/>
      <c r="J449" s="18"/>
      <c r="M449" s="18"/>
    </row>
    <row r="450">
      <c r="C450" s="18"/>
      <c r="D450" s="22"/>
      <c r="E450" s="22"/>
      <c r="F450" s="18"/>
      <c r="J450" s="18"/>
      <c r="M450" s="18"/>
    </row>
    <row r="451">
      <c r="C451" s="18"/>
      <c r="D451" s="22"/>
      <c r="E451" s="22"/>
      <c r="F451" s="18"/>
      <c r="J451" s="18"/>
      <c r="M451" s="18"/>
    </row>
    <row r="452">
      <c r="C452" s="18"/>
      <c r="D452" s="22"/>
      <c r="E452" s="22"/>
      <c r="F452" s="18"/>
      <c r="J452" s="18"/>
      <c r="M452" s="18"/>
    </row>
    <row r="453">
      <c r="C453" s="18"/>
      <c r="D453" s="22"/>
      <c r="E453" s="22"/>
      <c r="F453" s="18"/>
      <c r="J453" s="18"/>
      <c r="M453" s="18"/>
    </row>
    <row r="454">
      <c r="C454" s="18"/>
      <c r="D454" s="22"/>
      <c r="E454" s="22"/>
      <c r="F454" s="18"/>
      <c r="J454" s="18"/>
      <c r="M454" s="18"/>
    </row>
    <row r="455">
      <c r="C455" s="18"/>
      <c r="D455" s="22"/>
      <c r="E455" s="22"/>
      <c r="F455" s="18"/>
      <c r="J455" s="18"/>
      <c r="M455" s="18"/>
    </row>
    <row r="456">
      <c r="C456" s="18"/>
      <c r="D456" s="22"/>
      <c r="E456" s="22"/>
      <c r="F456" s="18"/>
      <c r="J456" s="18"/>
      <c r="M456" s="18"/>
    </row>
    <row r="457">
      <c r="C457" s="18"/>
      <c r="D457" s="22"/>
      <c r="E457" s="22"/>
      <c r="F457" s="18"/>
      <c r="J457" s="18"/>
      <c r="M457" s="18"/>
    </row>
    <row r="458">
      <c r="C458" s="18"/>
      <c r="D458" s="22"/>
      <c r="E458" s="22"/>
      <c r="F458" s="18"/>
      <c r="J458" s="18"/>
      <c r="M458" s="18"/>
    </row>
    <row r="459">
      <c r="C459" s="18"/>
      <c r="D459" s="22"/>
      <c r="E459" s="22"/>
      <c r="F459" s="18"/>
      <c r="J459" s="18"/>
      <c r="M459" s="18"/>
    </row>
    <row r="460">
      <c r="C460" s="18"/>
      <c r="D460" s="22"/>
      <c r="E460" s="22"/>
      <c r="F460" s="18"/>
      <c r="J460" s="18"/>
      <c r="M460" s="18"/>
    </row>
    <row r="461">
      <c r="C461" s="18"/>
      <c r="D461" s="22"/>
      <c r="E461" s="22"/>
      <c r="F461" s="18"/>
      <c r="J461" s="18"/>
      <c r="M461" s="18"/>
    </row>
    <row r="462">
      <c r="C462" s="18"/>
      <c r="D462" s="22"/>
      <c r="E462" s="22"/>
      <c r="F462" s="18"/>
      <c r="J462" s="18"/>
      <c r="M462" s="18"/>
    </row>
    <row r="463">
      <c r="C463" s="18"/>
      <c r="D463" s="22"/>
      <c r="E463" s="22"/>
      <c r="F463" s="18"/>
      <c r="J463" s="18"/>
      <c r="M463" s="18"/>
    </row>
    <row r="464">
      <c r="C464" s="18"/>
      <c r="D464" s="22"/>
      <c r="E464" s="22"/>
      <c r="F464" s="18"/>
      <c r="J464" s="18"/>
      <c r="M464" s="18"/>
    </row>
    <row r="465">
      <c r="C465" s="18"/>
      <c r="D465" s="22"/>
      <c r="E465" s="22"/>
      <c r="F465" s="18"/>
      <c r="J465" s="18"/>
      <c r="M465" s="18"/>
    </row>
    <row r="466">
      <c r="C466" s="18"/>
      <c r="D466" s="22"/>
      <c r="E466" s="22"/>
      <c r="F466" s="18"/>
      <c r="J466" s="18"/>
      <c r="M466" s="18"/>
    </row>
    <row r="467">
      <c r="C467" s="18"/>
      <c r="D467" s="22"/>
      <c r="E467" s="22"/>
      <c r="F467" s="18"/>
      <c r="J467" s="18"/>
      <c r="M467" s="18"/>
    </row>
    <row r="468">
      <c r="C468" s="18"/>
      <c r="D468" s="22"/>
      <c r="E468" s="22"/>
      <c r="F468" s="18"/>
      <c r="J468" s="18"/>
      <c r="M468" s="18"/>
    </row>
    <row r="469">
      <c r="C469" s="18"/>
      <c r="D469" s="22"/>
      <c r="E469" s="22"/>
      <c r="F469" s="18"/>
      <c r="J469" s="18"/>
      <c r="M469" s="18"/>
    </row>
    <row r="470">
      <c r="C470" s="18"/>
      <c r="D470" s="22"/>
      <c r="E470" s="22"/>
      <c r="F470" s="18"/>
      <c r="J470" s="18"/>
      <c r="M470" s="18"/>
    </row>
    <row r="471">
      <c r="C471" s="18"/>
      <c r="D471" s="22"/>
      <c r="E471" s="22"/>
      <c r="F471" s="18"/>
      <c r="J471" s="18"/>
      <c r="M471" s="18"/>
    </row>
    <row r="472">
      <c r="C472" s="18"/>
      <c r="D472" s="22"/>
      <c r="E472" s="22"/>
      <c r="F472" s="18"/>
      <c r="J472" s="18"/>
      <c r="M472" s="18"/>
    </row>
    <row r="473">
      <c r="C473" s="18"/>
      <c r="D473" s="22"/>
      <c r="E473" s="22"/>
      <c r="F473" s="18"/>
      <c r="J473" s="18"/>
      <c r="M473" s="18"/>
    </row>
    <row r="474">
      <c r="C474" s="18"/>
      <c r="D474" s="22"/>
      <c r="E474" s="22"/>
      <c r="F474" s="18"/>
      <c r="J474" s="18"/>
      <c r="M474" s="18"/>
    </row>
    <row r="475">
      <c r="C475" s="18"/>
      <c r="D475" s="22"/>
      <c r="E475" s="22"/>
      <c r="F475" s="18"/>
      <c r="J475" s="18"/>
      <c r="M475" s="18"/>
    </row>
    <row r="476">
      <c r="C476" s="18"/>
      <c r="D476" s="22"/>
      <c r="E476" s="22"/>
      <c r="F476" s="18"/>
      <c r="J476" s="18"/>
      <c r="M476" s="18"/>
    </row>
    <row r="477">
      <c r="C477" s="18"/>
      <c r="D477" s="22"/>
      <c r="E477" s="22"/>
      <c r="F477" s="18"/>
      <c r="J477" s="18"/>
      <c r="M477" s="18"/>
    </row>
    <row r="478">
      <c r="C478" s="18"/>
      <c r="D478" s="22"/>
      <c r="E478" s="22"/>
      <c r="F478" s="18"/>
      <c r="J478" s="18"/>
      <c r="M478" s="18"/>
    </row>
    <row r="479">
      <c r="C479" s="18"/>
      <c r="D479" s="22"/>
      <c r="E479" s="22"/>
      <c r="F479" s="18"/>
      <c r="J479" s="18"/>
      <c r="M479" s="18"/>
    </row>
    <row r="480">
      <c r="C480" s="18"/>
      <c r="D480" s="22"/>
      <c r="E480" s="22"/>
      <c r="F480" s="18"/>
      <c r="J480" s="18"/>
      <c r="M480" s="18"/>
    </row>
    <row r="481">
      <c r="C481" s="18"/>
      <c r="D481" s="22"/>
      <c r="E481" s="22"/>
      <c r="F481" s="18"/>
      <c r="J481" s="18"/>
      <c r="M481" s="18"/>
    </row>
    <row r="482">
      <c r="C482" s="18"/>
      <c r="D482" s="22"/>
      <c r="E482" s="22"/>
      <c r="F482" s="18"/>
      <c r="J482" s="18"/>
      <c r="M482" s="18"/>
    </row>
    <row r="483">
      <c r="C483" s="18"/>
      <c r="D483" s="22"/>
      <c r="E483" s="22"/>
      <c r="F483" s="18"/>
      <c r="J483" s="18"/>
      <c r="M483" s="18"/>
    </row>
    <row r="484">
      <c r="C484" s="18"/>
      <c r="D484" s="22"/>
      <c r="E484" s="22"/>
      <c r="F484" s="18"/>
      <c r="J484" s="18"/>
      <c r="M484" s="18"/>
    </row>
    <row r="485">
      <c r="C485" s="18"/>
      <c r="D485" s="22"/>
      <c r="E485" s="22"/>
      <c r="F485" s="18"/>
      <c r="J485" s="18"/>
      <c r="M485" s="18"/>
    </row>
    <row r="486">
      <c r="C486" s="18"/>
      <c r="D486" s="22"/>
      <c r="E486" s="22"/>
      <c r="F486" s="18"/>
      <c r="J486" s="18"/>
      <c r="M486" s="18"/>
    </row>
    <row r="487">
      <c r="C487" s="18"/>
      <c r="D487" s="22"/>
      <c r="E487" s="22"/>
      <c r="F487" s="18"/>
      <c r="J487" s="18"/>
      <c r="M487" s="18"/>
    </row>
    <row r="488">
      <c r="C488" s="18"/>
      <c r="D488" s="22"/>
      <c r="E488" s="22"/>
      <c r="F488" s="18"/>
      <c r="J488" s="18"/>
      <c r="M488" s="18"/>
    </row>
    <row r="489">
      <c r="C489" s="18"/>
      <c r="D489" s="22"/>
      <c r="E489" s="22"/>
      <c r="F489" s="18"/>
      <c r="J489" s="18"/>
      <c r="M489" s="18"/>
    </row>
    <row r="490">
      <c r="C490" s="18"/>
      <c r="D490" s="22"/>
      <c r="E490" s="22"/>
      <c r="F490" s="18"/>
      <c r="J490" s="18"/>
      <c r="M490" s="18"/>
    </row>
    <row r="491">
      <c r="C491" s="18"/>
      <c r="D491" s="22"/>
      <c r="E491" s="22"/>
      <c r="F491" s="18"/>
      <c r="J491" s="18"/>
      <c r="M491" s="18"/>
    </row>
    <row r="492">
      <c r="C492" s="18"/>
      <c r="D492" s="22"/>
      <c r="E492" s="22"/>
      <c r="F492" s="18"/>
      <c r="J492" s="18"/>
      <c r="M492" s="18"/>
    </row>
    <row r="493">
      <c r="C493" s="18"/>
      <c r="D493" s="22"/>
      <c r="E493" s="22"/>
      <c r="F493" s="18"/>
      <c r="J493" s="18"/>
      <c r="M493" s="18"/>
    </row>
    <row r="494">
      <c r="C494" s="18"/>
      <c r="D494" s="22"/>
      <c r="E494" s="22"/>
      <c r="F494" s="18"/>
      <c r="J494" s="18"/>
      <c r="M494" s="18"/>
    </row>
    <row r="495">
      <c r="C495" s="18"/>
      <c r="D495" s="22"/>
      <c r="E495" s="22"/>
      <c r="F495" s="18"/>
      <c r="J495" s="18"/>
      <c r="M495" s="18"/>
    </row>
    <row r="496">
      <c r="C496" s="18"/>
      <c r="D496" s="22"/>
      <c r="E496" s="22"/>
      <c r="F496" s="18"/>
      <c r="J496" s="18"/>
      <c r="M496" s="18"/>
    </row>
    <row r="497">
      <c r="C497" s="18"/>
      <c r="D497" s="22"/>
      <c r="E497" s="22"/>
      <c r="F497" s="18"/>
      <c r="J497" s="18"/>
      <c r="M497" s="18"/>
    </row>
    <row r="498">
      <c r="C498" s="18"/>
      <c r="D498" s="22"/>
      <c r="E498" s="22"/>
      <c r="F498" s="18"/>
      <c r="J498" s="18"/>
      <c r="M498" s="18"/>
    </row>
    <row r="499">
      <c r="C499" s="18"/>
      <c r="D499" s="22"/>
      <c r="E499" s="22"/>
      <c r="F499" s="18"/>
      <c r="J499" s="18"/>
      <c r="M499" s="18"/>
    </row>
    <row r="500">
      <c r="C500" s="18"/>
      <c r="D500" s="22"/>
      <c r="E500" s="22"/>
      <c r="F500" s="18"/>
      <c r="J500" s="18"/>
      <c r="M500" s="18"/>
    </row>
    <row r="501">
      <c r="C501" s="18"/>
      <c r="D501" s="22"/>
      <c r="E501" s="22"/>
      <c r="F501" s="18"/>
      <c r="J501" s="18"/>
      <c r="M501" s="18"/>
    </row>
    <row r="502">
      <c r="C502" s="18"/>
      <c r="D502" s="22"/>
      <c r="E502" s="22"/>
      <c r="F502" s="18"/>
      <c r="J502" s="18"/>
      <c r="M502" s="18"/>
    </row>
    <row r="503">
      <c r="C503" s="18"/>
      <c r="D503" s="22"/>
      <c r="E503" s="22"/>
      <c r="F503" s="18"/>
      <c r="J503" s="18"/>
      <c r="M503" s="18"/>
    </row>
    <row r="504">
      <c r="C504" s="18"/>
      <c r="D504" s="22"/>
      <c r="E504" s="22"/>
      <c r="F504" s="18"/>
      <c r="J504" s="18"/>
      <c r="M504" s="18"/>
    </row>
    <row r="505">
      <c r="C505" s="18"/>
      <c r="D505" s="22"/>
      <c r="E505" s="22"/>
      <c r="F505" s="18"/>
      <c r="J505" s="18"/>
      <c r="M505" s="18"/>
    </row>
    <row r="506">
      <c r="C506" s="18"/>
      <c r="D506" s="22"/>
      <c r="E506" s="22"/>
      <c r="F506" s="18"/>
      <c r="J506" s="18"/>
      <c r="M506" s="18"/>
    </row>
    <row r="507">
      <c r="C507" s="18"/>
      <c r="D507" s="22"/>
      <c r="E507" s="22"/>
      <c r="F507" s="18"/>
      <c r="J507" s="18"/>
      <c r="M507" s="18"/>
    </row>
    <row r="508">
      <c r="C508" s="18"/>
      <c r="D508" s="22"/>
      <c r="E508" s="22"/>
      <c r="F508" s="18"/>
      <c r="J508" s="18"/>
      <c r="M508" s="18"/>
    </row>
    <row r="509">
      <c r="C509" s="18"/>
      <c r="D509" s="22"/>
      <c r="E509" s="22"/>
      <c r="F509" s="18"/>
      <c r="J509" s="18"/>
      <c r="M509" s="18"/>
    </row>
    <row r="510">
      <c r="C510" s="18"/>
      <c r="D510" s="22"/>
      <c r="E510" s="22"/>
      <c r="F510" s="18"/>
      <c r="J510" s="18"/>
      <c r="M510" s="18"/>
    </row>
    <row r="511">
      <c r="C511" s="18"/>
      <c r="D511" s="22"/>
      <c r="E511" s="22"/>
      <c r="F511" s="18"/>
      <c r="J511" s="18"/>
      <c r="M511" s="18"/>
    </row>
    <row r="512">
      <c r="C512" s="18"/>
      <c r="D512" s="22"/>
      <c r="E512" s="22"/>
      <c r="F512" s="18"/>
      <c r="J512" s="18"/>
      <c r="M512" s="18"/>
    </row>
    <row r="513">
      <c r="C513" s="18"/>
      <c r="D513" s="22"/>
      <c r="E513" s="22"/>
      <c r="F513" s="18"/>
      <c r="J513" s="18"/>
      <c r="M513" s="18"/>
    </row>
    <row r="514">
      <c r="C514" s="18"/>
      <c r="D514" s="22"/>
      <c r="E514" s="22"/>
      <c r="F514" s="18"/>
      <c r="J514" s="18"/>
      <c r="M514" s="18"/>
    </row>
    <row r="515">
      <c r="C515" s="18"/>
      <c r="D515" s="22"/>
      <c r="E515" s="22"/>
      <c r="F515" s="18"/>
      <c r="J515" s="18"/>
      <c r="M515" s="18"/>
    </row>
    <row r="516">
      <c r="C516" s="18"/>
      <c r="D516" s="22"/>
      <c r="E516" s="22"/>
      <c r="F516" s="18"/>
      <c r="J516" s="18"/>
      <c r="M516" s="18"/>
    </row>
    <row r="517">
      <c r="C517" s="18"/>
      <c r="D517" s="22"/>
      <c r="E517" s="22"/>
      <c r="F517" s="18"/>
      <c r="J517" s="18"/>
      <c r="M517" s="18"/>
    </row>
    <row r="518">
      <c r="C518" s="18"/>
      <c r="D518" s="22"/>
      <c r="E518" s="22"/>
      <c r="F518" s="18"/>
      <c r="J518" s="18"/>
      <c r="M518" s="18"/>
    </row>
    <row r="519">
      <c r="C519" s="18"/>
      <c r="D519" s="22"/>
      <c r="E519" s="22"/>
      <c r="F519" s="18"/>
      <c r="J519" s="18"/>
      <c r="M519" s="18"/>
    </row>
    <row r="520">
      <c r="C520" s="18"/>
      <c r="D520" s="22"/>
      <c r="E520" s="22"/>
      <c r="F520" s="18"/>
      <c r="J520" s="18"/>
      <c r="M520" s="18"/>
    </row>
    <row r="521">
      <c r="C521" s="18"/>
      <c r="D521" s="22"/>
      <c r="E521" s="22"/>
      <c r="F521" s="18"/>
      <c r="J521" s="18"/>
      <c r="M521" s="18"/>
    </row>
    <row r="522">
      <c r="C522" s="18"/>
      <c r="D522" s="22"/>
      <c r="E522" s="22"/>
      <c r="F522" s="18"/>
      <c r="J522" s="18"/>
      <c r="M522" s="18"/>
    </row>
    <row r="523">
      <c r="C523" s="18"/>
      <c r="D523" s="22"/>
      <c r="E523" s="22"/>
      <c r="F523" s="18"/>
      <c r="J523" s="18"/>
      <c r="M523" s="18"/>
    </row>
    <row r="524">
      <c r="C524" s="18"/>
      <c r="D524" s="22"/>
      <c r="E524" s="22"/>
      <c r="F524" s="18"/>
      <c r="J524" s="18"/>
      <c r="M524" s="18"/>
    </row>
    <row r="525">
      <c r="C525" s="18"/>
      <c r="D525" s="22"/>
      <c r="E525" s="22"/>
      <c r="F525" s="18"/>
      <c r="J525" s="18"/>
      <c r="M525" s="18"/>
    </row>
    <row r="526">
      <c r="C526" s="18"/>
      <c r="D526" s="22"/>
      <c r="E526" s="22"/>
      <c r="F526" s="18"/>
      <c r="J526" s="18"/>
      <c r="M526" s="18"/>
    </row>
    <row r="527">
      <c r="C527" s="18"/>
      <c r="D527" s="22"/>
      <c r="E527" s="22"/>
      <c r="F527" s="18"/>
      <c r="J527" s="18"/>
      <c r="M527" s="18"/>
    </row>
    <row r="528">
      <c r="C528" s="18"/>
      <c r="D528" s="22"/>
      <c r="E528" s="22"/>
      <c r="F528" s="18"/>
      <c r="J528" s="18"/>
      <c r="M528" s="18"/>
    </row>
    <row r="529">
      <c r="C529" s="18"/>
      <c r="D529" s="22"/>
      <c r="E529" s="22"/>
      <c r="F529" s="18"/>
      <c r="J529" s="18"/>
      <c r="M529" s="18"/>
    </row>
    <row r="530">
      <c r="C530" s="18"/>
      <c r="D530" s="22"/>
      <c r="E530" s="22"/>
      <c r="F530" s="18"/>
      <c r="J530" s="18"/>
      <c r="M530" s="18"/>
    </row>
    <row r="531">
      <c r="C531" s="18"/>
      <c r="D531" s="22"/>
      <c r="E531" s="22"/>
      <c r="F531" s="18"/>
      <c r="J531" s="18"/>
      <c r="M531" s="18"/>
    </row>
    <row r="532">
      <c r="C532" s="18"/>
      <c r="D532" s="22"/>
      <c r="E532" s="22"/>
      <c r="F532" s="18"/>
      <c r="J532" s="18"/>
      <c r="M532" s="18"/>
    </row>
    <row r="533">
      <c r="C533" s="18"/>
      <c r="D533" s="22"/>
      <c r="E533" s="22"/>
      <c r="F533" s="18"/>
      <c r="J533" s="18"/>
      <c r="M533" s="18"/>
    </row>
    <row r="534">
      <c r="C534" s="18"/>
      <c r="D534" s="22"/>
      <c r="E534" s="22"/>
      <c r="F534" s="18"/>
      <c r="J534" s="18"/>
      <c r="M534" s="18"/>
    </row>
    <row r="535">
      <c r="C535" s="18"/>
      <c r="D535" s="22"/>
      <c r="E535" s="22"/>
      <c r="F535" s="18"/>
      <c r="J535" s="18"/>
      <c r="M535" s="18"/>
    </row>
    <row r="536">
      <c r="C536" s="18"/>
      <c r="D536" s="22"/>
      <c r="E536" s="22"/>
      <c r="F536" s="18"/>
      <c r="J536" s="18"/>
      <c r="M536" s="18"/>
    </row>
    <row r="537">
      <c r="C537" s="18"/>
      <c r="D537" s="22"/>
      <c r="E537" s="22"/>
      <c r="F537" s="18"/>
      <c r="J537" s="18"/>
      <c r="M537" s="18"/>
    </row>
    <row r="538">
      <c r="C538" s="18"/>
      <c r="D538" s="22"/>
      <c r="E538" s="22"/>
      <c r="F538" s="18"/>
      <c r="J538" s="18"/>
      <c r="M538" s="18"/>
    </row>
    <row r="539">
      <c r="C539" s="18"/>
      <c r="D539" s="22"/>
      <c r="E539" s="22"/>
      <c r="F539" s="18"/>
      <c r="J539" s="18"/>
      <c r="M539" s="18"/>
    </row>
    <row r="540">
      <c r="C540" s="18"/>
      <c r="D540" s="22"/>
      <c r="E540" s="22"/>
      <c r="F540" s="18"/>
      <c r="J540" s="18"/>
      <c r="M540" s="18"/>
    </row>
    <row r="541">
      <c r="C541" s="18"/>
      <c r="D541" s="22"/>
      <c r="E541" s="22"/>
      <c r="F541" s="18"/>
      <c r="J541" s="18"/>
      <c r="M541" s="18"/>
    </row>
    <row r="542">
      <c r="C542" s="18"/>
      <c r="D542" s="22"/>
      <c r="E542" s="22"/>
      <c r="F542" s="18"/>
      <c r="J542" s="18"/>
      <c r="M542" s="18"/>
    </row>
    <row r="543">
      <c r="C543" s="18"/>
      <c r="D543" s="22"/>
      <c r="E543" s="22"/>
      <c r="F543" s="18"/>
      <c r="J543" s="18"/>
      <c r="M543" s="18"/>
    </row>
    <row r="544">
      <c r="C544" s="18"/>
      <c r="D544" s="22"/>
      <c r="E544" s="22"/>
      <c r="F544" s="18"/>
      <c r="J544" s="18"/>
      <c r="M544" s="18"/>
    </row>
    <row r="545">
      <c r="C545" s="18"/>
      <c r="D545" s="22"/>
      <c r="E545" s="22"/>
      <c r="F545" s="18"/>
      <c r="J545" s="18"/>
      <c r="M545" s="18"/>
    </row>
    <row r="546">
      <c r="C546" s="18"/>
      <c r="D546" s="22"/>
      <c r="E546" s="22"/>
      <c r="F546" s="18"/>
      <c r="J546" s="18"/>
      <c r="M546" s="18"/>
    </row>
    <row r="547">
      <c r="C547" s="18"/>
      <c r="D547" s="22"/>
      <c r="E547" s="22"/>
      <c r="F547" s="18"/>
      <c r="J547" s="18"/>
      <c r="M547" s="18"/>
    </row>
    <row r="548">
      <c r="C548" s="18"/>
      <c r="D548" s="22"/>
      <c r="E548" s="22"/>
      <c r="F548" s="18"/>
      <c r="J548" s="18"/>
      <c r="M548" s="18"/>
    </row>
    <row r="549">
      <c r="C549" s="18"/>
      <c r="D549" s="22"/>
      <c r="E549" s="22"/>
      <c r="F549" s="18"/>
      <c r="J549" s="18"/>
      <c r="M549" s="18"/>
    </row>
    <row r="550">
      <c r="C550" s="18"/>
      <c r="D550" s="22"/>
      <c r="E550" s="22"/>
      <c r="F550" s="18"/>
      <c r="J550" s="18"/>
      <c r="M550" s="18"/>
    </row>
    <row r="551">
      <c r="C551" s="18"/>
      <c r="D551" s="22"/>
      <c r="E551" s="22"/>
      <c r="F551" s="18"/>
      <c r="J551" s="18"/>
      <c r="M551" s="18"/>
    </row>
    <row r="552">
      <c r="C552" s="18"/>
      <c r="D552" s="22"/>
      <c r="E552" s="22"/>
      <c r="F552" s="18"/>
      <c r="J552" s="18"/>
      <c r="M552" s="18"/>
    </row>
    <row r="553">
      <c r="C553" s="18"/>
      <c r="D553" s="22"/>
      <c r="E553" s="22"/>
      <c r="F553" s="18"/>
      <c r="J553" s="18"/>
      <c r="M553" s="18"/>
    </row>
    <row r="554">
      <c r="C554" s="18"/>
      <c r="D554" s="22"/>
      <c r="E554" s="22"/>
      <c r="F554" s="18"/>
      <c r="J554" s="18"/>
      <c r="M554" s="18"/>
    </row>
    <row r="555">
      <c r="C555" s="18"/>
      <c r="D555" s="22"/>
      <c r="E555" s="22"/>
      <c r="F555" s="18"/>
      <c r="J555" s="18"/>
      <c r="M555" s="18"/>
    </row>
    <row r="556">
      <c r="C556" s="18"/>
      <c r="D556" s="22"/>
      <c r="E556" s="22"/>
      <c r="F556" s="18"/>
      <c r="J556" s="18"/>
      <c r="M556" s="18"/>
    </row>
    <row r="557">
      <c r="C557" s="18"/>
      <c r="D557" s="22"/>
      <c r="E557" s="22"/>
      <c r="F557" s="18"/>
      <c r="J557" s="18"/>
      <c r="M557" s="18"/>
    </row>
    <row r="558">
      <c r="C558" s="18"/>
      <c r="D558" s="22"/>
      <c r="E558" s="22"/>
      <c r="F558" s="18"/>
      <c r="J558" s="18"/>
      <c r="M558" s="18"/>
    </row>
    <row r="559">
      <c r="C559" s="18"/>
      <c r="D559" s="22"/>
      <c r="E559" s="22"/>
      <c r="F559" s="18"/>
      <c r="J559" s="18"/>
      <c r="M559" s="18"/>
    </row>
    <row r="560">
      <c r="C560" s="18"/>
      <c r="D560" s="22"/>
      <c r="E560" s="22"/>
      <c r="F560" s="18"/>
      <c r="J560" s="18"/>
      <c r="M560" s="18"/>
    </row>
    <row r="561">
      <c r="C561" s="18"/>
      <c r="D561" s="22"/>
      <c r="E561" s="22"/>
      <c r="F561" s="18"/>
      <c r="J561" s="18"/>
      <c r="M561" s="18"/>
    </row>
    <row r="562">
      <c r="C562" s="18"/>
      <c r="D562" s="22"/>
      <c r="E562" s="22"/>
      <c r="F562" s="18"/>
      <c r="J562" s="18"/>
      <c r="M562" s="18"/>
    </row>
    <row r="563">
      <c r="C563" s="18"/>
      <c r="D563" s="22"/>
      <c r="E563" s="22"/>
      <c r="F563" s="18"/>
      <c r="J563" s="18"/>
      <c r="M563" s="18"/>
    </row>
    <row r="564">
      <c r="C564" s="18"/>
      <c r="D564" s="22"/>
      <c r="E564" s="22"/>
      <c r="F564" s="18"/>
      <c r="J564" s="18"/>
      <c r="M564" s="18"/>
    </row>
    <row r="565">
      <c r="C565" s="18"/>
      <c r="D565" s="22"/>
      <c r="E565" s="22"/>
      <c r="F565" s="18"/>
      <c r="J565" s="18"/>
      <c r="M565" s="18"/>
    </row>
    <row r="566">
      <c r="C566" s="18"/>
      <c r="D566" s="22"/>
      <c r="E566" s="22"/>
      <c r="F566" s="18"/>
      <c r="J566" s="18"/>
      <c r="M566" s="18"/>
    </row>
    <row r="567">
      <c r="C567" s="18"/>
      <c r="D567" s="22"/>
      <c r="E567" s="22"/>
      <c r="F567" s="18"/>
      <c r="J567" s="18"/>
      <c r="M567" s="18"/>
    </row>
    <row r="568">
      <c r="C568" s="18"/>
      <c r="D568" s="22"/>
      <c r="E568" s="22"/>
      <c r="F568" s="18"/>
      <c r="J568" s="18"/>
      <c r="M568" s="18"/>
    </row>
    <row r="569">
      <c r="C569" s="18"/>
      <c r="D569" s="22"/>
      <c r="E569" s="22"/>
      <c r="F569" s="18"/>
      <c r="J569" s="18"/>
      <c r="M569" s="18"/>
    </row>
    <row r="570">
      <c r="C570" s="18"/>
      <c r="D570" s="22"/>
      <c r="E570" s="22"/>
      <c r="F570" s="18"/>
      <c r="J570" s="18"/>
      <c r="M570" s="18"/>
    </row>
    <row r="571">
      <c r="C571" s="18"/>
      <c r="D571" s="22"/>
      <c r="E571" s="22"/>
      <c r="F571" s="18"/>
      <c r="J571" s="18"/>
      <c r="M571" s="18"/>
    </row>
    <row r="572">
      <c r="C572" s="18"/>
      <c r="D572" s="22"/>
      <c r="E572" s="22"/>
      <c r="F572" s="18"/>
      <c r="J572" s="18"/>
      <c r="M572" s="18"/>
    </row>
    <row r="573">
      <c r="C573" s="18"/>
      <c r="D573" s="22"/>
      <c r="E573" s="22"/>
      <c r="F573" s="18"/>
      <c r="J573" s="18"/>
      <c r="M573" s="18"/>
    </row>
    <row r="574">
      <c r="C574" s="18"/>
      <c r="D574" s="22"/>
      <c r="E574" s="22"/>
      <c r="F574" s="18"/>
      <c r="J574" s="18"/>
      <c r="M574" s="18"/>
    </row>
    <row r="575">
      <c r="C575" s="18"/>
      <c r="D575" s="22"/>
      <c r="E575" s="22"/>
      <c r="F575" s="18"/>
      <c r="J575" s="18"/>
      <c r="M575" s="18"/>
    </row>
    <row r="576">
      <c r="C576" s="18"/>
      <c r="D576" s="22"/>
      <c r="E576" s="22"/>
      <c r="F576" s="18"/>
      <c r="J576" s="18"/>
      <c r="M576" s="18"/>
    </row>
    <row r="577">
      <c r="C577" s="18"/>
      <c r="D577" s="22"/>
      <c r="E577" s="22"/>
      <c r="F577" s="18"/>
      <c r="J577" s="18"/>
      <c r="M577" s="18"/>
    </row>
    <row r="578">
      <c r="C578" s="18"/>
      <c r="D578" s="22"/>
      <c r="E578" s="22"/>
      <c r="F578" s="18"/>
      <c r="J578" s="18"/>
      <c r="M578" s="18"/>
    </row>
    <row r="579">
      <c r="C579" s="18"/>
      <c r="D579" s="22"/>
      <c r="E579" s="22"/>
      <c r="F579" s="18"/>
      <c r="J579" s="18"/>
      <c r="M579" s="18"/>
    </row>
    <row r="580">
      <c r="C580" s="18"/>
      <c r="D580" s="22"/>
      <c r="E580" s="22"/>
      <c r="F580" s="18"/>
      <c r="J580" s="18"/>
      <c r="M580" s="18"/>
    </row>
    <row r="581">
      <c r="C581" s="18"/>
      <c r="D581" s="22"/>
      <c r="E581" s="22"/>
      <c r="F581" s="18"/>
      <c r="J581" s="18"/>
      <c r="M581" s="18"/>
    </row>
    <row r="582">
      <c r="C582" s="18"/>
      <c r="D582" s="22"/>
      <c r="E582" s="22"/>
      <c r="F582" s="18"/>
      <c r="J582" s="18"/>
      <c r="M582" s="18"/>
    </row>
    <row r="583">
      <c r="C583" s="18"/>
      <c r="D583" s="22"/>
      <c r="E583" s="22"/>
      <c r="F583" s="18"/>
      <c r="J583" s="18"/>
      <c r="M583" s="18"/>
    </row>
    <row r="584">
      <c r="C584" s="18"/>
      <c r="D584" s="22"/>
      <c r="E584" s="22"/>
      <c r="F584" s="18"/>
      <c r="J584" s="18"/>
      <c r="M584" s="18"/>
    </row>
    <row r="585">
      <c r="C585" s="18"/>
      <c r="D585" s="22"/>
      <c r="E585" s="22"/>
      <c r="F585" s="18"/>
      <c r="J585" s="18"/>
      <c r="M585" s="18"/>
    </row>
    <row r="586">
      <c r="C586" s="18"/>
      <c r="D586" s="22"/>
      <c r="E586" s="22"/>
      <c r="F586" s="18"/>
      <c r="J586" s="18"/>
      <c r="M586" s="18"/>
    </row>
    <row r="587">
      <c r="C587" s="18"/>
      <c r="D587" s="22"/>
      <c r="E587" s="22"/>
      <c r="F587" s="18"/>
      <c r="J587" s="18"/>
      <c r="M587" s="18"/>
    </row>
    <row r="588">
      <c r="C588" s="18"/>
      <c r="D588" s="22"/>
      <c r="E588" s="22"/>
      <c r="F588" s="18"/>
      <c r="J588" s="18"/>
      <c r="M588" s="18"/>
    </row>
    <row r="589">
      <c r="C589" s="18"/>
      <c r="D589" s="22"/>
      <c r="E589" s="22"/>
      <c r="F589" s="18"/>
      <c r="J589" s="18"/>
      <c r="M589" s="18"/>
    </row>
    <row r="590">
      <c r="C590" s="18"/>
      <c r="D590" s="22"/>
      <c r="E590" s="22"/>
      <c r="F590" s="18"/>
      <c r="J590" s="18"/>
      <c r="M590" s="18"/>
    </row>
    <row r="591">
      <c r="C591" s="18"/>
      <c r="D591" s="22"/>
      <c r="E591" s="22"/>
      <c r="F591" s="18"/>
      <c r="J591" s="18"/>
      <c r="M591" s="18"/>
    </row>
    <row r="592">
      <c r="C592" s="18"/>
      <c r="D592" s="22"/>
      <c r="E592" s="22"/>
      <c r="F592" s="18"/>
      <c r="J592" s="18"/>
      <c r="M592" s="18"/>
    </row>
    <row r="593">
      <c r="C593" s="18"/>
      <c r="D593" s="22"/>
      <c r="E593" s="22"/>
      <c r="F593" s="18"/>
      <c r="J593" s="18"/>
      <c r="M593" s="18"/>
    </row>
    <row r="594">
      <c r="C594" s="18"/>
      <c r="D594" s="22"/>
      <c r="E594" s="22"/>
      <c r="F594" s="18"/>
      <c r="J594" s="18"/>
      <c r="M594" s="18"/>
    </row>
    <row r="595">
      <c r="C595" s="18"/>
      <c r="D595" s="22"/>
      <c r="E595" s="22"/>
      <c r="F595" s="18"/>
      <c r="J595" s="18"/>
      <c r="M595" s="18"/>
    </row>
    <row r="596">
      <c r="C596" s="18"/>
      <c r="D596" s="22"/>
      <c r="E596" s="22"/>
      <c r="F596" s="18"/>
      <c r="J596" s="18"/>
      <c r="M596" s="18"/>
    </row>
    <row r="597">
      <c r="C597" s="18"/>
      <c r="D597" s="22"/>
      <c r="E597" s="22"/>
      <c r="F597" s="18"/>
      <c r="J597" s="18"/>
      <c r="M597" s="18"/>
    </row>
    <row r="598">
      <c r="C598" s="18"/>
      <c r="D598" s="22"/>
      <c r="E598" s="22"/>
      <c r="F598" s="18"/>
      <c r="J598" s="18"/>
      <c r="M598" s="18"/>
    </row>
    <row r="599">
      <c r="C599" s="18"/>
      <c r="D599" s="22"/>
      <c r="E599" s="22"/>
      <c r="F599" s="18"/>
      <c r="J599" s="18"/>
      <c r="M599" s="18"/>
    </row>
    <row r="600">
      <c r="C600" s="18"/>
      <c r="D600" s="22"/>
      <c r="E600" s="22"/>
      <c r="F600" s="18"/>
      <c r="J600" s="18"/>
      <c r="M600" s="18"/>
    </row>
    <row r="601">
      <c r="C601" s="18"/>
      <c r="D601" s="22"/>
      <c r="E601" s="22"/>
      <c r="F601" s="18"/>
      <c r="J601" s="18"/>
      <c r="M601" s="18"/>
    </row>
    <row r="602">
      <c r="C602" s="18"/>
      <c r="D602" s="22"/>
      <c r="E602" s="22"/>
      <c r="F602" s="18"/>
      <c r="J602" s="18"/>
      <c r="M602" s="18"/>
    </row>
    <row r="603">
      <c r="C603" s="18"/>
      <c r="D603" s="22"/>
      <c r="E603" s="22"/>
      <c r="F603" s="18"/>
      <c r="J603" s="18"/>
      <c r="M603" s="18"/>
    </row>
    <row r="604">
      <c r="C604" s="18"/>
      <c r="D604" s="22"/>
      <c r="E604" s="22"/>
      <c r="F604" s="18"/>
      <c r="J604" s="18"/>
      <c r="M604" s="18"/>
    </row>
    <row r="605">
      <c r="C605" s="18"/>
      <c r="D605" s="22"/>
      <c r="E605" s="22"/>
      <c r="F605" s="18"/>
      <c r="J605" s="18"/>
      <c r="M605" s="18"/>
    </row>
    <row r="606">
      <c r="C606" s="18"/>
      <c r="D606" s="22"/>
      <c r="E606" s="22"/>
      <c r="F606" s="18"/>
      <c r="J606" s="18"/>
      <c r="M606" s="18"/>
    </row>
    <row r="607">
      <c r="C607" s="18"/>
      <c r="D607" s="22"/>
      <c r="E607" s="22"/>
      <c r="F607" s="18"/>
      <c r="J607" s="18"/>
      <c r="M607" s="18"/>
    </row>
    <row r="608">
      <c r="C608" s="18"/>
      <c r="D608" s="22"/>
      <c r="E608" s="22"/>
      <c r="F608" s="18"/>
      <c r="J608" s="18"/>
      <c r="M608" s="18"/>
    </row>
    <row r="609">
      <c r="C609" s="18"/>
      <c r="D609" s="22"/>
      <c r="E609" s="22"/>
      <c r="F609" s="18"/>
      <c r="J609" s="18"/>
      <c r="M609" s="18"/>
    </row>
    <row r="610">
      <c r="C610" s="18"/>
      <c r="D610" s="22"/>
      <c r="E610" s="22"/>
      <c r="F610" s="18"/>
      <c r="J610" s="18"/>
      <c r="M610" s="18"/>
    </row>
    <row r="611">
      <c r="C611" s="18"/>
      <c r="D611" s="22"/>
      <c r="E611" s="22"/>
      <c r="F611" s="18"/>
      <c r="J611" s="18"/>
      <c r="M611" s="18"/>
    </row>
    <row r="612">
      <c r="C612" s="18"/>
      <c r="D612" s="22"/>
      <c r="E612" s="22"/>
      <c r="F612" s="18"/>
      <c r="J612" s="18"/>
      <c r="M612" s="18"/>
    </row>
    <row r="613">
      <c r="C613" s="18"/>
      <c r="D613" s="22"/>
      <c r="E613" s="22"/>
      <c r="F613" s="18"/>
      <c r="J613" s="18"/>
      <c r="M613" s="18"/>
    </row>
    <row r="614">
      <c r="C614" s="18"/>
      <c r="D614" s="22"/>
      <c r="E614" s="22"/>
      <c r="F614" s="18"/>
      <c r="J614" s="18"/>
      <c r="M614" s="18"/>
    </row>
    <row r="615">
      <c r="C615" s="18"/>
      <c r="D615" s="22"/>
      <c r="E615" s="22"/>
      <c r="F615" s="18"/>
      <c r="J615" s="18"/>
      <c r="M615" s="18"/>
    </row>
    <row r="616">
      <c r="C616" s="18"/>
      <c r="D616" s="22"/>
      <c r="E616" s="22"/>
      <c r="F616" s="18"/>
      <c r="J616" s="18"/>
      <c r="M616" s="18"/>
    </row>
    <row r="617">
      <c r="C617" s="18"/>
      <c r="D617" s="22"/>
      <c r="E617" s="22"/>
      <c r="F617" s="18"/>
      <c r="J617" s="18"/>
      <c r="M617" s="18"/>
    </row>
    <row r="618">
      <c r="C618" s="18"/>
      <c r="D618" s="22"/>
      <c r="E618" s="22"/>
      <c r="F618" s="18"/>
      <c r="J618" s="18"/>
      <c r="M618" s="18"/>
    </row>
    <row r="619">
      <c r="C619" s="18"/>
      <c r="D619" s="22"/>
      <c r="E619" s="22"/>
      <c r="F619" s="18"/>
      <c r="J619" s="18"/>
      <c r="M619" s="18"/>
    </row>
    <row r="620">
      <c r="C620" s="18"/>
      <c r="D620" s="22"/>
      <c r="E620" s="22"/>
      <c r="F620" s="18"/>
      <c r="J620" s="18"/>
      <c r="M620" s="18"/>
    </row>
    <row r="621">
      <c r="C621" s="18"/>
      <c r="D621" s="22"/>
      <c r="E621" s="22"/>
      <c r="F621" s="18"/>
      <c r="J621" s="18"/>
      <c r="M621" s="18"/>
    </row>
    <row r="622">
      <c r="C622" s="18"/>
      <c r="D622" s="22"/>
      <c r="E622" s="22"/>
      <c r="F622" s="18"/>
      <c r="J622" s="18"/>
      <c r="M622" s="18"/>
    </row>
    <row r="623">
      <c r="C623" s="18"/>
      <c r="D623" s="22"/>
      <c r="E623" s="22"/>
      <c r="F623" s="18"/>
      <c r="J623" s="18"/>
      <c r="M623" s="18"/>
    </row>
    <row r="624">
      <c r="C624" s="18"/>
      <c r="D624" s="22"/>
      <c r="E624" s="22"/>
      <c r="F624" s="18"/>
      <c r="J624" s="18"/>
      <c r="M624" s="18"/>
    </row>
    <row r="625">
      <c r="C625" s="18"/>
      <c r="D625" s="22"/>
      <c r="E625" s="22"/>
      <c r="F625" s="18"/>
      <c r="J625" s="18"/>
      <c r="M625" s="18"/>
    </row>
    <row r="626">
      <c r="C626" s="18"/>
      <c r="D626" s="22"/>
      <c r="E626" s="22"/>
      <c r="F626" s="18"/>
      <c r="J626" s="18"/>
      <c r="M626" s="18"/>
    </row>
    <row r="627">
      <c r="C627" s="18"/>
      <c r="D627" s="22"/>
      <c r="E627" s="22"/>
      <c r="F627" s="18"/>
      <c r="J627" s="18"/>
      <c r="M627" s="18"/>
    </row>
    <row r="628">
      <c r="C628" s="18"/>
      <c r="D628" s="22"/>
      <c r="E628" s="22"/>
      <c r="F628" s="18"/>
      <c r="J628" s="18"/>
      <c r="M628" s="18"/>
    </row>
    <row r="629">
      <c r="C629" s="18"/>
      <c r="D629" s="22"/>
      <c r="E629" s="22"/>
      <c r="F629" s="18"/>
      <c r="J629" s="18"/>
      <c r="M629" s="18"/>
    </row>
    <row r="630">
      <c r="C630" s="18"/>
      <c r="D630" s="22"/>
      <c r="E630" s="22"/>
      <c r="F630" s="18"/>
      <c r="J630" s="18"/>
      <c r="M630" s="18"/>
    </row>
    <row r="631">
      <c r="C631" s="18"/>
      <c r="D631" s="22"/>
      <c r="E631" s="22"/>
      <c r="F631" s="18"/>
      <c r="J631" s="18"/>
      <c r="M631" s="18"/>
    </row>
    <row r="632">
      <c r="C632" s="18"/>
      <c r="D632" s="22"/>
      <c r="E632" s="22"/>
      <c r="F632" s="18"/>
      <c r="J632" s="18"/>
      <c r="M632" s="18"/>
    </row>
    <row r="633">
      <c r="C633" s="18"/>
      <c r="D633" s="22"/>
      <c r="E633" s="22"/>
      <c r="F633" s="18"/>
      <c r="J633" s="18"/>
      <c r="M633" s="18"/>
    </row>
    <row r="634">
      <c r="C634" s="18"/>
      <c r="D634" s="22"/>
      <c r="E634" s="22"/>
      <c r="F634" s="18"/>
      <c r="J634" s="18"/>
      <c r="M634" s="18"/>
    </row>
    <row r="635">
      <c r="C635" s="18"/>
      <c r="D635" s="22"/>
      <c r="E635" s="22"/>
      <c r="F635" s="18"/>
      <c r="J635" s="18"/>
      <c r="M635" s="18"/>
    </row>
    <row r="636">
      <c r="C636" s="18"/>
      <c r="D636" s="22"/>
      <c r="E636" s="22"/>
      <c r="F636" s="18"/>
      <c r="J636" s="18"/>
      <c r="M636" s="18"/>
    </row>
    <row r="637">
      <c r="C637" s="18"/>
      <c r="D637" s="22"/>
      <c r="E637" s="22"/>
      <c r="F637" s="18"/>
      <c r="J637" s="18"/>
      <c r="M637" s="18"/>
    </row>
    <row r="638">
      <c r="C638" s="18"/>
      <c r="D638" s="22"/>
      <c r="E638" s="22"/>
      <c r="F638" s="18"/>
      <c r="J638" s="18"/>
      <c r="M638" s="18"/>
    </row>
    <row r="639">
      <c r="C639" s="18"/>
      <c r="D639" s="22"/>
      <c r="E639" s="22"/>
      <c r="F639" s="18"/>
      <c r="J639" s="18"/>
      <c r="M639" s="18"/>
    </row>
    <row r="640">
      <c r="C640" s="18"/>
      <c r="D640" s="22"/>
      <c r="E640" s="22"/>
      <c r="F640" s="18"/>
      <c r="J640" s="18"/>
      <c r="M640" s="18"/>
    </row>
    <row r="641">
      <c r="C641" s="18"/>
      <c r="D641" s="22"/>
      <c r="E641" s="22"/>
      <c r="F641" s="18"/>
      <c r="J641" s="18"/>
      <c r="M641" s="18"/>
    </row>
    <row r="642">
      <c r="C642" s="18"/>
      <c r="D642" s="22"/>
      <c r="E642" s="22"/>
      <c r="F642" s="18"/>
      <c r="J642" s="18"/>
      <c r="M642" s="18"/>
    </row>
    <row r="643">
      <c r="C643" s="18"/>
      <c r="D643" s="22"/>
      <c r="E643" s="22"/>
      <c r="F643" s="18"/>
      <c r="J643" s="18"/>
      <c r="M643" s="18"/>
    </row>
    <row r="644">
      <c r="C644" s="18"/>
      <c r="D644" s="22"/>
      <c r="E644" s="22"/>
      <c r="F644" s="18"/>
      <c r="J644" s="18"/>
      <c r="M644" s="18"/>
    </row>
    <row r="645">
      <c r="C645" s="18"/>
      <c r="D645" s="22"/>
      <c r="E645" s="22"/>
      <c r="F645" s="18"/>
      <c r="J645" s="18"/>
      <c r="M645" s="18"/>
    </row>
    <row r="646">
      <c r="C646" s="18"/>
      <c r="D646" s="22"/>
      <c r="E646" s="22"/>
      <c r="F646" s="18"/>
      <c r="J646" s="18"/>
      <c r="M646" s="18"/>
    </row>
    <row r="647">
      <c r="C647" s="18"/>
      <c r="D647" s="22"/>
      <c r="E647" s="22"/>
      <c r="F647" s="18"/>
      <c r="J647" s="18"/>
      <c r="M647" s="18"/>
    </row>
    <row r="648">
      <c r="C648" s="18"/>
      <c r="D648" s="22"/>
      <c r="E648" s="22"/>
      <c r="F648" s="18"/>
      <c r="J648" s="18"/>
      <c r="M648" s="18"/>
    </row>
    <row r="649">
      <c r="C649" s="18"/>
      <c r="D649" s="22"/>
      <c r="E649" s="22"/>
      <c r="F649" s="18"/>
      <c r="J649" s="18"/>
      <c r="M649" s="18"/>
    </row>
    <row r="650">
      <c r="C650" s="18"/>
      <c r="D650" s="22"/>
      <c r="E650" s="22"/>
      <c r="F650" s="18"/>
      <c r="J650" s="18"/>
      <c r="M650" s="18"/>
    </row>
    <row r="651">
      <c r="C651" s="18"/>
      <c r="D651" s="22"/>
      <c r="E651" s="22"/>
      <c r="F651" s="18"/>
      <c r="J651" s="18"/>
      <c r="M651" s="18"/>
    </row>
    <row r="652">
      <c r="C652" s="18"/>
      <c r="D652" s="22"/>
      <c r="E652" s="22"/>
      <c r="F652" s="18"/>
      <c r="J652" s="18"/>
      <c r="M652" s="18"/>
    </row>
    <row r="653">
      <c r="C653" s="18"/>
      <c r="D653" s="22"/>
      <c r="E653" s="22"/>
      <c r="F653" s="18"/>
      <c r="J653" s="18"/>
      <c r="M653" s="18"/>
    </row>
    <row r="654">
      <c r="C654" s="18"/>
      <c r="D654" s="22"/>
      <c r="E654" s="22"/>
      <c r="F654" s="18"/>
      <c r="J654" s="18"/>
      <c r="M654" s="18"/>
    </row>
    <row r="655">
      <c r="C655" s="18"/>
      <c r="D655" s="22"/>
      <c r="E655" s="22"/>
      <c r="F655" s="18"/>
      <c r="J655" s="18"/>
      <c r="M655" s="18"/>
    </row>
    <row r="656">
      <c r="C656" s="18"/>
      <c r="D656" s="22"/>
      <c r="E656" s="22"/>
      <c r="F656" s="18"/>
      <c r="J656" s="18"/>
      <c r="M656" s="18"/>
    </row>
    <row r="657">
      <c r="C657" s="18"/>
      <c r="D657" s="22"/>
      <c r="E657" s="22"/>
      <c r="F657" s="18"/>
      <c r="J657" s="18"/>
      <c r="M657" s="18"/>
    </row>
    <row r="658">
      <c r="C658" s="18"/>
      <c r="D658" s="22"/>
      <c r="E658" s="22"/>
      <c r="F658" s="18"/>
      <c r="J658" s="18"/>
      <c r="M658" s="18"/>
    </row>
    <row r="659">
      <c r="C659" s="18"/>
      <c r="D659" s="22"/>
      <c r="E659" s="22"/>
      <c r="F659" s="18"/>
      <c r="J659" s="18"/>
      <c r="M659" s="18"/>
    </row>
    <row r="660">
      <c r="C660" s="18"/>
      <c r="D660" s="22"/>
      <c r="E660" s="22"/>
      <c r="F660" s="18"/>
      <c r="J660" s="18"/>
      <c r="M660" s="18"/>
    </row>
    <row r="661">
      <c r="C661" s="18"/>
      <c r="D661" s="22"/>
      <c r="E661" s="22"/>
      <c r="F661" s="18"/>
      <c r="J661" s="18"/>
      <c r="M661" s="18"/>
    </row>
    <row r="662">
      <c r="C662" s="18"/>
      <c r="D662" s="22"/>
      <c r="E662" s="22"/>
      <c r="F662" s="18"/>
      <c r="J662" s="18"/>
      <c r="M662" s="18"/>
    </row>
    <row r="663">
      <c r="C663" s="18"/>
      <c r="D663" s="22"/>
      <c r="E663" s="22"/>
      <c r="F663" s="18"/>
      <c r="J663" s="18"/>
      <c r="M663" s="18"/>
    </row>
    <row r="664">
      <c r="C664" s="18"/>
      <c r="D664" s="22"/>
      <c r="E664" s="22"/>
      <c r="F664" s="18"/>
      <c r="J664" s="18"/>
      <c r="M664" s="18"/>
    </row>
    <row r="665">
      <c r="C665" s="18"/>
      <c r="D665" s="22"/>
      <c r="E665" s="22"/>
      <c r="F665" s="18"/>
      <c r="J665" s="18"/>
      <c r="M665" s="18"/>
    </row>
    <row r="666">
      <c r="C666" s="18"/>
      <c r="D666" s="22"/>
      <c r="E666" s="22"/>
      <c r="F666" s="18"/>
      <c r="J666" s="18"/>
      <c r="M666" s="18"/>
    </row>
    <row r="667">
      <c r="C667" s="18"/>
      <c r="D667" s="22"/>
      <c r="E667" s="22"/>
      <c r="F667" s="18"/>
      <c r="J667" s="18"/>
      <c r="M667" s="18"/>
    </row>
    <row r="668">
      <c r="C668" s="18"/>
      <c r="D668" s="22"/>
      <c r="E668" s="22"/>
      <c r="F668" s="18"/>
      <c r="J668" s="18"/>
      <c r="M668" s="18"/>
    </row>
    <row r="669">
      <c r="C669" s="18"/>
      <c r="D669" s="22"/>
      <c r="E669" s="22"/>
      <c r="F669" s="18"/>
      <c r="J669" s="18"/>
      <c r="M669" s="18"/>
    </row>
    <row r="670">
      <c r="C670" s="18"/>
      <c r="D670" s="22"/>
      <c r="E670" s="22"/>
      <c r="F670" s="18"/>
      <c r="J670" s="18"/>
      <c r="M670" s="18"/>
    </row>
    <row r="671">
      <c r="C671" s="18"/>
      <c r="D671" s="22"/>
      <c r="E671" s="22"/>
      <c r="F671" s="18"/>
      <c r="J671" s="18"/>
      <c r="M671" s="18"/>
    </row>
    <row r="672">
      <c r="C672" s="18"/>
      <c r="D672" s="22"/>
      <c r="E672" s="22"/>
      <c r="F672" s="18"/>
      <c r="J672" s="18"/>
      <c r="M672" s="18"/>
    </row>
    <row r="673">
      <c r="C673" s="18"/>
      <c r="D673" s="22"/>
      <c r="E673" s="22"/>
      <c r="F673" s="18"/>
      <c r="J673" s="18"/>
      <c r="M673" s="18"/>
    </row>
    <row r="674">
      <c r="C674" s="18"/>
      <c r="D674" s="22"/>
      <c r="E674" s="22"/>
      <c r="F674" s="18"/>
      <c r="J674" s="18"/>
      <c r="M674" s="18"/>
    </row>
    <row r="675">
      <c r="C675" s="18"/>
      <c r="D675" s="22"/>
      <c r="E675" s="22"/>
      <c r="F675" s="18"/>
      <c r="J675" s="18"/>
      <c r="M675" s="18"/>
    </row>
    <row r="676">
      <c r="C676" s="18"/>
      <c r="D676" s="22"/>
      <c r="E676" s="22"/>
      <c r="F676" s="18"/>
      <c r="J676" s="18"/>
      <c r="M676" s="18"/>
    </row>
    <row r="677">
      <c r="C677" s="18"/>
      <c r="D677" s="22"/>
      <c r="E677" s="22"/>
      <c r="F677" s="18"/>
      <c r="J677" s="18"/>
      <c r="M677" s="18"/>
    </row>
    <row r="678">
      <c r="C678" s="18"/>
      <c r="D678" s="22"/>
      <c r="E678" s="22"/>
      <c r="F678" s="18"/>
      <c r="J678" s="18"/>
      <c r="M678" s="18"/>
    </row>
    <row r="679">
      <c r="C679" s="18"/>
      <c r="D679" s="22"/>
      <c r="E679" s="22"/>
      <c r="F679" s="18"/>
      <c r="J679" s="18"/>
      <c r="M679" s="18"/>
    </row>
    <row r="680">
      <c r="C680" s="18"/>
      <c r="D680" s="22"/>
      <c r="E680" s="22"/>
      <c r="F680" s="18"/>
      <c r="J680" s="18"/>
      <c r="M680" s="18"/>
    </row>
    <row r="681">
      <c r="C681" s="18"/>
      <c r="D681" s="22"/>
      <c r="E681" s="22"/>
      <c r="F681" s="18"/>
      <c r="J681" s="18"/>
      <c r="M681" s="18"/>
    </row>
    <row r="682">
      <c r="C682" s="18"/>
      <c r="D682" s="22"/>
      <c r="E682" s="22"/>
      <c r="F682" s="18"/>
      <c r="J682" s="18"/>
      <c r="M682" s="18"/>
    </row>
    <row r="683">
      <c r="C683" s="18"/>
      <c r="D683" s="22"/>
      <c r="E683" s="22"/>
      <c r="F683" s="18"/>
      <c r="J683" s="18"/>
      <c r="M683" s="18"/>
    </row>
    <row r="684">
      <c r="C684" s="18"/>
      <c r="D684" s="22"/>
      <c r="E684" s="22"/>
      <c r="F684" s="18"/>
      <c r="J684" s="18"/>
      <c r="M684" s="18"/>
    </row>
    <row r="685">
      <c r="C685" s="18"/>
      <c r="D685" s="22"/>
      <c r="E685" s="22"/>
      <c r="F685" s="18"/>
      <c r="J685" s="18"/>
      <c r="M685" s="18"/>
    </row>
    <row r="686">
      <c r="C686" s="18"/>
      <c r="D686" s="22"/>
      <c r="E686" s="22"/>
      <c r="F686" s="18"/>
      <c r="J686" s="18"/>
      <c r="M686" s="18"/>
    </row>
    <row r="687">
      <c r="C687" s="18"/>
      <c r="D687" s="22"/>
      <c r="E687" s="22"/>
      <c r="F687" s="18"/>
      <c r="J687" s="18"/>
      <c r="M687" s="18"/>
    </row>
    <row r="688">
      <c r="C688" s="18"/>
      <c r="D688" s="22"/>
      <c r="E688" s="22"/>
      <c r="F688" s="18"/>
      <c r="J688" s="18"/>
      <c r="M688" s="18"/>
    </row>
    <row r="689">
      <c r="C689" s="18"/>
      <c r="D689" s="22"/>
      <c r="E689" s="22"/>
      <c r="F689" s="18"/>
      <c r="J689" s="18"/>
      <c r="M689" s="18"/>
    </row>
    <row r="690">
      <c r="C690" s="18"/>
      <c r="D690" s="22"/>
      <c r="E690" s="22"/>
      <c r="F690" s="18"/>
      <c r="J690" s="18"/>
      <c r="M690" s="18"/>
    </row>
    <row r="691">
      <c r="C691" s="18"/>
      <c r="D691" s="22"/>
      <c r="E691" s="22"/>
      <c r="F691" s="18"/>
      <c r="J691" s="18"/>
      <c r="M691" s="18"/>
    </row>
    <row r="692">
      <c r="C692" s="18"/>
      <c r="D692" s="22"/>
      <c r="E692" s="22"/>
      <c r="F692" s="18"/>
      <c r="J692" s="18"/>
      <c r="M692" s="18"/>
    </row>
    <row r="693">
      <c r="C693" s="18"/>
      <c r="D693" s="22"/>
      <c r="E693" s="22"/>
      <c r="F693" s="18"/>
      <c r="J693" s="18"/>
      <c r="M693" s="18"/>
    </row>
    <row r="694">
      <c r="C694" s="18"/>
      <c r="D694" s="22"/>
      <c r="E694" s="22"/>
      <c r="F694" s="18"/>
      <c r="J694" s="18"/>
      <c r="M694" s="18"/>
    </row>
    <row r="695">
      <c r="C695" s="18"/>
      <c r="D695" s="22"/>
      <c r="E695" s="22"/>
      <c r="F695" s="18"/>
      <c r="J695" s="18"/>
      <c r="M695" s="18"/>
    </row>
    <row r="696">
      <c r="C696" s="18"/>
      <c r="D696" s="22"/>
      <c r="E696" s="22"/>
      <c r="F696" s="18"/>
      <c r="J696" s="18"/>
      <c r="M696" s="18"/>
    </row>
    <row r="697">
      <c r="C697" s="18"/>
      <c r="D697" s="22"/>
      <c r="E697" s="22"/>
      <c r="F697" s="18"/>
      <c r="J697" s="18"/>
      <c r="M697" s="18"/>
    </row>
    <row r="698">
      <c r="C698" s="18"/>
      <c r="D698" s="22"/>
      <c r="E698" s="22"/>
      <c r="F698" s="18"/>
      <c r="J698" s="18"/>
      <c r="M698" s="18"/>
    </row>
    <row r="699">
      <c r="C699" s="18"/>
      <c r="D699" s="22"/>
      <c r="E699" s="22"/>
      <c r="F699" s="18"/>
      <c r="J699" s="18"/>
      <c r="M699" s="18"/>
    </row>
    <row r="700">
      <c r="C700" s="18"/>
      <c r="D700" s="22"/>
      <c r="E700" s="22"/>
      <c r="F700" s="18"/>
      <c r="J700" s="18"/>
      <c r="M700" s="18"/>
    </row>
    <row r="701">
      <c r="C701" s="18"/>
      <c r="D701" s="22"/>
      <c r="E701" s="22"/>
      <c r="F701" s="18"/>
      <c r="J701" s="18"/>
      <c r="M701" s="18"/>
    </row>
    <row r="702">
      <c r="C702" s="18"/>
      <c r="D702" s="22"/>
      <c r="E702" s="22"/>
      <c r="F702" s="18"/>
      <c r="J702" s="18"/>
      <c r="M702" s="18"/>
    </row>
    <row r="703">
      <c r="C703" s="18"/>
      <c r="D703" s="22"/>
      <c r="E703" s="22"/>
      <c r="F703" s="18"/>
      <c r="J703" s="18"/>
      <c r="M703" s="18"/>
    </row>
    <row r="704">
      <c r="C704" s="18"/>
      <c r="D704" s="22"/>
      <c r="E704" s="22"/>
      <c r="F704" s="18"/>
      <c r="J704" s="18"/>
      <c r="M704" s="18"/>
    </row>
    <row r="705">
      <c r="C705" s="18"/>
      <c r="D705" s="22"/>
      <c r="E705" s="22"/>
      <c r="F705" s="18"/>
      <c r="J705" s="18"/>
      <c r="M705" s="18"/>
    </row>
    <row r="706">
      <c r="C706" s="18"/>
      <c r="D706" s="22"/>
      <c r="E706" s="22"/>
      <c r="F706" s="18"/>
      <c r="J706" s="18"/>
      <c r="M706" s="18"/>
    </row>
    <row r="707">
      <c r="C707" s="18"/>
      <c r="D707" s="22"/>
      <c r="E707" s="22"/>
      <c r="F707" s="18"/>
      <c r="J707" s="18"/>
      <c r="M707" s="18"/>
    </row>
    <row r="708">
      <c r="C708" s="18"/>
      <c r="D708" s="22"/>
      <c r="E708" s="22"/>
      <c r="F708" s="18"/>
      <c r="J708" s="18"/>
      <c r="M708" s="18"/>
    </row>
    <row r="709">
      <c r="C709" s="18"/>
      <c r="D709" s="22"/>
      <c r="E709" s="22"/>
      <c r="F709" s="18"/>
      <c r="J709" s="18"/>
      <c r="M709" s="18"/>
    </row>
    <row r="710">
      <c r="C710" s="18"/>
      <c r="D710" s="22"/>
      <c r="E710" s="22"/>
      <c r="F710" s="18"/>
      <c r="J710" s="18"/>
      <c r="M710" s="18"/>
    </row>
    <row r="711">
      <c r="C711" s="18"/>
      <c r="D711" s="22"/>
      <c r="E711" s="22"/>
      <c r="F711" s="18"/>
      <c r="J711" s="18"/>
      <c r="M711" s="18"/>
    </row>
    <row r="712">
      <c r="C712" s="18"/>
      <c r="D712" s="22"/>
      <c r="E712" s="22"/>
      <c r="F712" s="18"/>
      <c r="J712" s="18"/>
      <c r="M712" s="18"/>
    </row>
    <row r="713">
      <c r="C713" s="18"/>
      <c r="D713" s="22"/>
      <c r="E713" s="22"/>
      <c r="F713" s="18"/>
      <c r="J713" s="18"/>
      <c r="M713" s="18"/>
    </row>
    <row r="714">
      <c r="C714" s="18"/>
      <c r="D714" s="22"/>
      <c r="E714" s="22"/>
      <c r="F714" s="18"/>
      <c r="J714" s="18"/>
      <c r="M714" s="18"/>
    </row>
    <row r="715">
      <c r="C715" s="18"/>
      <c r="D715" s="22"/>
      <c r="E715" s="22"/>
      <c r="F715" s="18"/>
      <c r="J715" s="18"/>
      <c r="M715" s="18"/>
    </row>
    <row r="716">
      <c r="C716" s="18"/>
      <c r="D716" s="22"/>
      <c r="E716" s="22"/>
      <c r="F716" s="18"/>
      <c r="J716" s="18"/>
      <c r="M716" s="18"/>
    </row>
    <row r="717">
      <c r="C717" s="18"/>
      <c r="D717" s="22"/>
      <c r="E717" s="22"/>
      <c r="F717" s="18"/>
      <c r="J717" s="18"/>
      <c r="M717" s="18"/>
    </row>
    <row r="718">
      <c r="C718" s="18"/>
      <c r="D718" s="22"/>
      <c r="E718" s="22"/>
      <c r="F718" s="18"/>
      <c r="J718" s="18"/>
      <c r="M718" s="18"/>
    </row>
    <row r="719">
      <c r="C719" s="18"/>
      <c r="D719" s="22"/>
      <c r="E719" s="22"/>
      <c r="F719" s="18"/>
      <c r="J719" s="18"/>
      <c r="M719" s="18"/>
    </row>
    <row r="720">
      <c r="C720" s="18"/>
      <c r="D720" s="22"/>
      <c r="E720" s="22"/>
      <c r="F720" s="18"/>
      <c r="J720" s="18"/>
      <c r="M720" s="18"/>
    </row>
    <row r="721">
      <c r="C721" s="18"/>
      <c r="D721" s="22"/>
      <c r="E721" s="22"/>
      <c r="F721" s="18"/>
      <c r="J721" s="18"/>
      <c r="M721" s="18"/>
    </row>
    <row r="722">
      <c r="C722" s="18"/>
      <c r="D722" s="22"/>
      <c r="E722" s="22"/>
      <c r="F722" s="18"/>
      <c r="J722" s="18"/>
      <c r="M722" s="18"/>
    </row>
    <row r="723">
      <c r="C723" s="18"/>
      <c r="D723" s="22"/>
      <c r="E723" s="22"/>
      <c r="F723" s="18"/>
      <c r="J723" s="18"/>
      <c r="M723" s="18"/>
    </row>
    <row r="724">
      <c r="C724" s="18"/>
      <c r="D724" s="22"/>
      <c r="E724" s="22"/>
      <c r="F724" s="18"/>
      <c r="J724" s="18"/>
      <c r="M724" s="18"/>
    </row>
    <row r="725">
      <c r="C725" s="18"/>
      <c r="D725" s="22"/>
      <c r="E725" s="22"/>
      <c r="F725" s="18"/>
      <c r="J725" s="18"/>
      <c r="M725" s="18"/>
    </row>
    <row r="726">
      <c r="C726" s="18"/>
      <c r="D726" s="22"/>
      <c r="E726" s="22"/>
      <c r="F726" s="18"/>
      <c r="J726" s="18"/>
      <c r="M726" s="18"/>
    </row>
    <row r="727">
      <c r="C727" s="18"/>
      <c r="D727" s="22"/>
      <c r="E727" s="22"/>
      <c r="F727" s="18"/>
      <c r="J727" s="18"/>
      <c r="M727" s="18"/>
    </row>
    <row r="728">
      <c r="C728" s="18"/>
      <c r="D728" s="22"/>
      <c r="E728" s="22"/>
      <c r="F728" s="18"/>
      <c r="J728" s="18"/>
      <c r="M728" s="18"/>
    </row>
    <row r="729">
      <c r="C729" s="18"/>
      <c r="D729" s="22"/>
      <c r="E729" s="22"/>
      <c r="F729" s="18"/>
      <c r="J729" s="18"/>
      <c r="M729" s="18"/>
    </row>
    <row r="730">
      <c r="C730" s="18"/>
      <c r="D730" s="22"/>
      <c r="E730" s="22"/>
      <c r="F730" s="18"/>
      <c r="J730" s="18"/>
      <c r="M730" s="18"/>
    </row>
    <row r="731">
      <c r="C731" s="18"/>
      <c r="D731" s="22"/>
      <c r="E731" s="22"/>
      <c r="F731" s="18"/>
      <c r="J731" s="18"/>
      <c r="M731" s="18"/>
    </row>
    <row r="732">
      <c r="C732" s="18"/>
      <c r="D732" s="22"/>
      <c r="E732" s="22"/>
      <c r="F732" s="18"/>
      <c r="J732" s="18"/>
      <c r="M732" s="18"/>
    </row>
    <row r="733">
      <c r="C733" s="18"/>
      <c r="D733" s="22"/>
      <c r="E733" s="22"/>
      <c r="F733" s="18"/>
      <c r="J733" s="18"/>
      <c r="M733" s="18"/>
    </row>
    <row r="734">
      <c r="C734" s="18"/>
      <c r="D734" s="22"/>
      <c r="E734" s="22"/>
      <c r="F734" s="18"/>
      <c r="J734" s="18"/>
      <c r="M734" s="18"/>
    </row>
    <row r="735">
      <c r="C735" s="18"/>
      <c r="D735" s="22"/>
      <c r="E735" s="22"/>
      <c r="F735" s="18"/>
      <c r="J735" s="18"/>
      <c r="M735" s="18"/>
    </row>
    <row r="736">
      <c r="C736" s="18"/>
      <c r="D736" s="22"/>
      <c r="E736" s="22"/>
      <c r="F736" s="18"/>
      <c r="J736" s="18"/>
      <c r="M736" s="18"/>
    </row>
    <row r="737">
      <c r="C737" s="18"/>
      <c r="D737" s="22"/>
      <c r="E737" s="22"/>
      <c r="F737" s="18"/>
      <c r="J737" s="18"/>
      <c r="M737" s="18"/>
    </row>
    <row r="738">
      <c r="C738" s="18"/>
      <c r="D738" s="22"/>
      <c r="E738" s="22"/>
      <c r="F738" s="18"/>
      <c r="J738" s="18"/>
      <c r="M738" s="18"/>
    </row>
    <row r="739">
      <c r="C739" s="18"/>
      <c r="D739" s="22"/>
      <c r="E739" s="22"/>
      <c r="F739" s="18"/>
      <c r="J739" s="18"/>
      <c r="M739" s="18"/>
    </row>
    <row r="740">
      <c r="C740" s="18"/>
      <c r="D740" s="22"/>
      <c r="E740" s="22"/>
      <c r="F740" s="18"/>
      <c r="J740" s="18"/>
      <c r="M740" s="18"/>
    </row>
    <row r="741">
      <c r="C741" s="18"/>
      <c r="D741" s="22"/>
      <c r="E741" s="22"/>
      <c r="F741" s="18"/>
      <c r="J741" s="18"/>
      <c r="M741" s="18"/>
    </row>
    <row r="742">
      <c r="C742" s="18"/>
      <c r="D742" s="22"/>
      <c r="E742" s="22"/>
      <c r="F742" s="18"/>
      <c r="J742" s="18"/>
      <c r="M742" s="18"/>
    </row>
    <row r="743">
      <c r="C743" s="18"/>
      <c r="D743" s="22"/>
      <c r="E743" s="22"/>
      <c r="F743" s="18"/>
      <c r="J743" s="18"/>
      <c r="M743" s="18"/>
    </row>
    <row r="744">
      <c r="C744" s="18"/>
      <c r="D744" s="22"/>
      <c r="E744" s="22"/>
      <c r="F744" s="18"/>
      <c r="J744" s="18"/>
      <c r="M744" s="18"/>
    </row>
    <row r="745">
      <c r="C745" s="18"/>
      <c r="D745" s="22"/>
      <c r="E745" s="22"/>
      <c r="F745" s="18"/>
      <c r="J745" s="18"/>
      <c r="M745" s="18"/>
    </row>
    <row r="746">
      <c r="C746" s="18"/>
      <c r="D746" s="22"/>
      <c r="E746" s="22"/>
      <c r="F746" s="18"/>
      <c r="J746" s="18"/>
      <c r="M746" s="18"/>
    </row>
    <row r="747">
      <c r="C747" s="18"/>
      <c r="D747" s="22"/>
      <c r="E747" s="22"/>
      <c r="F747" s="18"/>
      <c r="J747" s="18"/>
      <c r="M747" s="18"/>
    </row>
    <row r="748">
      <c r="C748" s="18"/>
      <c r="D748" s="22"/>
      <c r="E748" s="22"/>
      <c r="F748" s="18"/>
      <c r="J748" s="18"/>
      <c r="M748" s="18"/>
    </row>
    <row r="749">
      <c r="C749" s="18"/>
      <c r="D749" s="22"/>
      <c r="E749" s="22"/>
      <c r="F749" s="18"/>
      <c r="J749" s="18"/>
      <c r="M749" s="18"/>
    </row>
    <row r="750">
      <c r="C750" s="18"/>
      <c r="D750" s="22"/>
      <c r="E750" s="22"/>
      <c r="F750" s="18"/>
      <c r="J750" s="18"/>
      <c r="M750" s="18"/>
    </row>
    <row r="751">
      <c r="C751" s="18"/>
      <c r="D751" s="22"/>
      <c r="E751" s="22"/>
      <c r="F751" s="18"/>
      <c r="J751" s="18"/>
      <c r="M751" s="18"/>
    </row>
    <row r="752">
      <c r="C752" s="18"/>
      <c r="D752" s="22"/>
      <c r="E752" s="22"/>
      <c r="F752" s="18"/>
      <c r="J752" s="18"/>
      <c r="M752" s="18"/>
    </row>
    <row r="753">
      <c r="C753" s="18"/>
      <c r="D753" s="22"/>
      <c r="E753" s="22"/>
      <c r="F753" s="18"/>
      <c r="J753" s="18"/>
      <c r="M753" s="18"/>
    </row>
    <row r="754">
      <c r="C754" s="18"/>
      <c r="D754" s="22"/>
      <c r="E754" s="22"/>
      <c r="F754" s="18"/>
      <c r="J754" s="18"/>
      <c r="M754" s="18"/>
    </row>
    <row r="755">
      <c r="C755" s="18"/>
      <c r="D755" s="22"/>
      <c r="E755" s="22"/>
      <c r="F755" s="18"/>
      <c r="J755" s="18"/>
      <c r="M755" s="18"/>
    </row>
    <row r="756">
      <c r="C756" s="18"/>
      <c r="D756" s="22"/>
      <c r="E756" s="22"/>
      <c r="F756" s="18"/>
      <c r="J756" s="18"/>
      <c r="M756" s="18"/>
    </row>
    <row r="757">
      <c r="C757" s="18"/>
      <c r="D757" s="22"/>
      <c r="E757" s="22"/>
      <c r="F757" s="18"/>
      <c r="J757" s="18"/>
      <c r="M757" s="18"/>
    </row>
    <row r="758">
      <c r="C758" s="18"/>
      <c r="D758" s="22"/>
      <c r="E758" s="22"/>
      <c r="F758" s="18"/>
      <c r="J758" s="18"/>
      <c r="M758" s="18"/>
    </row>
    <row r="759">
      <c r="C759" s="18"/>
      <c r="D759" s="22"/>
      <c r="E759" s="22"/>
      <c r="F759" s="18"/>
      <c r="J759" s="18"/>
      <c r="M759" s="18"/>
    </row>
    <row r="760">
      <c r="C760" s="18"/>
      <c r="D760" s="22"/>
      <c r="E760" s="22"/>
      <c r="F760" s="18"/>
      <c r="J760" s="18"/>
      <c r="M760" s="18"/>
    </row>
    <row r="761">
      <c r="C761" s="18"/>
      <c r="D761" s="22"/>
      <c r="E761" s="22"/>
      <c r="F761" s="18"/>
      <c r="J761" s="18"/>
      <c r="M761" s="18"/>
    </row>
    <row r="762">
      <c r="C762" s="18"/>
      <c r="D762" s="22"/>
      <c r="E762" s="22"/>
      <c r="F762" s="18"/>
      <c r="J762" s="18"/>
      <c r="M762" s="18"/>
    </row>
    <row r="763">
      <c r="C763" s="18"/>
      <c r="D763" s="22"/>
      <c r="E763" s="22"/>
      <c r="F763" s="18"/>
      <c r="J763" s="18"/>
      <c r="M763" s="18"/>
    </row>
    <row r="764">
      <c r="C764" s="18"/>
      <c r="D764" s="22"/>
      <c r="E764" s="22"/>
      <c r="F764" s="18"/>
      <c r="J764" s="18"/>
      <c r="M764" s="18"/>
    </row>
    <row r="765">
      <c r="C765" s="18"/>
      <c r="D765" s="22"/>
      <c r="E765" s="22"/>
      <c r="F765" s="18"/>
      <c r="J765" s="18"/>
      <c r="M765" s="18"/>
    </row>
    <row r="766">
      <c r="C766" s="18"/>
      <c r="D766" s="22"/>
      <c r="E766" s="22"/>
      <c r="F766" s="18"/>
      <c r="J766" s="18"/>
      <c r="M766" s="18"/>
    </row>
    <row r="767">
      <c r="C767" s="18"/>
      <c r="D767" s="22"/>
      <c r="E767" s="22"/>
      <c r="F767" s="18"/>
      <c r="J767" s="18"/>
      <c r="M767" s="18"/>
    </row>
    <row r="768">
      <c r="C768" s="18"/>
      <c r="D768" s="22"/>
      <c r="E768" s="22"/>
      <c r="F768" s="18"/>
      <c r="J768" s="18"/>
      <c r="M768" s="18"/>
    </row>
    <row r="769">
      <c r="C769" s="18"/>
      <c r="D769" s="22"/>
      <c r="E769" s="22"/>
      <c r="F769" s="18"/>
      <c r="J769" s="18"/>
      <c r="M769" s="18"/>
    </row>
    <row r="770">
      <c r="C770" s="18"/>
      <c r="D770" s="22"/>
      <c r="E770" s="22"/>
      <c r="F770" s="18"/>
      <c r="J770" s="18"/>
      <c r="M770" s="18"/>
    </row>
    <row r="771">
      <c r="C771" s="18"/>
      <c r="D771" s="22"/>
      <c r="E771" s="22"/>
      <c r="F771" s="18"/>
      <c r="J771" s="18"/>
      <c r="M771" s="18"/>
    </row>
    <row r="772">
      <c r="C772" s="18"/>
      <c r="D772" s="22"/>
      <c r="E772" s="22"/>
      <c r="F772" s="18"/>
      <c r="J772" s="18"/>
      <c r="M772" s="18"/>
    </row>
    <row r="773">
      <c r="C773" s="18"/>
      <c r="D773" s="22"/>
      <c r="E773" s="22"/>
      <c r="F773" s="18"/>
      <c r="J773" s="18"/>
      <c r="M773" s="18"/>
    </row>
    <row r="774">
      <c r="C774" s="18"/>
      <c r="D774" s="22"/>
      <c r="E774" s="22"/>
      <c r="F774" s="18"/>
      <c r="J774" s="18"/>
      <c r="M774" s="18"/>
    </row>
    <row r="775">
      <c r="C775" s="18"/>
      <c r="D775" s="22"/>
      <c r="E775" s="22"/>
      <c r="F775" s="18"/>
      <c r="J775" s="18"/>
      <c r="M775" s="18"/>
    </row>
    <row r="776">
      <c r="C776" s="18"/>
      <c r="D776" s="22"/>
      <c r="E776" s="22"/>
      <c r="F776" s="18"/>
      <c r="J776" s="18"/>
      <c r="M776" s="18"/>
    </row>
    <row r="777">
      <c r="C777" s="18"/>
      <c r="D777" s="22"/>
      <c r="E777" s="22"/>
      <c r="F777" s="18"/>
      <c r="J777" s="18"/>
      <c r="M777" s="18"/>
    </row>
    <row r="778">
      <c r="C778" s="18"/>
      <c r="D778" s="22"/>
      <c r="E778" s="22"/>
      <c r="F778" s="18"/>
      <c r="J778" s="18"/>
      <c r="M778" s="18"/>
    </row>
    <row r="779">
      <c r="C779" s="18"/>
      <c r="D779" s="22"/>
      <c r="E779" s="22"/>
      <c r="F779" s="18"/>
      <c r="J779" s="18"/>
      <c r="M779" s="18"/>
    </row>
    <row r="780">
      <c r="C780" s="18"/>
      <c r="D780" s="22"/>
      <c r="E780" s="22"/>
      <c r="F780" s="18"/>
      <c r="J780" s="18"/>
      <c r="M780" s="18"/>
    </row>
    <row r="781">
      <c r="C781" s="18"/>
      <c r="D781" s="22"/>
      <c r="E781" s="22"/>
      <c r="F781" s="18"/>
      <c r="J781" s="18"/>
      <c r="M781" s="18"/>
    </row>
    <row r="782">
      <c r="C782" s="18"/>
      <c r="D782" s="22"/>
      <c r="E782" s="22"/>
      <c r="F782" s="18"/>
      <c r="J782" s="18"/>
      <c r="M782" s="18"/>
    </row>
    <row r="783">
      <c r="C783" s="18"/>
      <c r="D783" s="22"/>
      <c r="E783" s="22"/>
      <c r="F783" s="18"/>
      <c r="J783" s="18"/>
      <c r="M783" s="18"/>
    </row>
    <row r="784">
      <c r="C784" s="18"/>
      <c r="D784" s="22"/>
      <c r="E784" s="22"/>
      <c r="F784" s="18"/>
      <c r="J784" s="18"/>
      <c r="M784" s="18"/>
    </row>
    <row r="785">
      <c r="C785" s="18"/>
      <c r="D785" s="22"/>
      <c r="E785" s="22"/>
      <c r="F785" s="18"/>
      <c r="J785" s="18"/>
      <c r="M785" s="18"/>
    </row>
    <row r="786">
      <c r="C786" s="18"/>
      <c r="D786" s="22"/>
      <c r="E786" s="22"/>
      <c r="F786" s="18"/>
      <c r="J786" s="18"/>
      <c r="M786" s="18"/>
    </row>
    <row r="787">
      <c r="C787" s="18"/>
      <c r="D787" s="22"/>
      <c r="E787" s="22"/>
      <c r="F787" s="18"/>
      <c r="J787" s="18"/>
      <c r="M787" s="18"/>
    </row>
    <row r="788">
      <c r="C788" s="18"/>
      <c r="D788" s="22"/>
      <c r="E788" s="22"/>
      <c r="F788" s="18"/>
      <c r="J788" s="18"/>
      <c r="M788" s="18"/>
    </row>
    <row r="789">
      <c r="C789" s="18"/>
      <c r="D789" s="22"/>
      <c r="E789" s="22"/>
      <c r="F789" s="18"/>
      <c r="J789" s="18"/>
      <c r="M789" s="18"/>
    </row>
    <row r="790">
      <c r="C790" s="18"/>
      <c r="D790" s="22"/>
      <c r="E790" s="22"/>
      <c r="F790" s="18"/>
      <c r="J790" s="18"/>
      <c r="M790" s="18"/>
    </row>
    <row r="791">
      <c r="C791" s="18"/>
      <c r="D791" s="22"/>
      <c r="E791" s="22"/>
      <c r="F791" s="18"/>
      <c r="J791" s="18"/>
      <c r="M791" s="18"/>
    </row>
    <row r="792">
      <c r="C792" s="18"/>
      <c r="D792" s="22"/>
      <c r="E792" s="22"/>
      <c r="F792" s="18"/>
      <c r="J792" s="18"/>
      <c r="M792" s="18"/>
    </row>
    <row r="793">
      <c r="C793" s="18"/>
      <c r="D793" s="22"/>
      <c r="E793" s="22"/>
      <c r="F793" s="18"/>
      <c r="J793" s="18"/>
      <c r="M793" s="18"/>
    </row>
    <row r="794">
      <c r="C794" s="18"/>
      <c r="D794" s="22"/>
      <c r="E794" s="22"/>
      <c r="F794" s="18"/>
      <c r="J794" s="18"/>
      <c r="M794" s="18"/>
    </row>
    <row r="795">
      <c r="C795" s="18"/>
      <c r="D795" s="22"/>
      <c r="E795" s="22"/>
      <c r="F795" s="18"/>
      <c r="J795" s="18"/>
      <c r="M795" s="18"/>
    </row>
    <row r="796">
      <c r="C796" s="18"/>
      <c r="D796" s="22"/>
      <c r="E796" s="22"/>
      <c r="F796" s="18"/>
      <c r="J796" s="18"/>
      <c r="M796" s="18"/>
    </row>
    <row r="797">
      <c r="C797" s="18"/>
      <c r="D797" s="22"/>
      <c r="E797" s="22"/>
      <c r="F797" s="18"/>
      <c r="J797" s="18"/>
      <c r="M797" s="18"/>
    </row>
    <row r="798">
      <c r="C798" s="18"/>
      <c r="D798" s="22"/>
      <c r="E798" s="22"/>
      <c r="F798" s="18"/>
      <c r="J798" s="18"/>
      <c r="M798" s="18"/>
    </row>
    <row r="799">
      <c r="C799" s="18"/>
      <c r="D799" s="22"/>
      <c r="E799" s="22"/>
      <c r="F799" s="18"/>
      <c r="J799" s="18"/>
      <c r="M799" s="18"/>
    </row>
    <row r="800">
      <c r="C800" s="18"/>
      <c r="D800" s="22"/>
      <c r="E800" s="22"/>
      <c r="F800" s="18"/>
      <c r="J800" s="18"/>
      <c r="M800" s="18"/>
    </row>
    <row r="801">
      <c r="C801" s="18"/>
      <c r="D801" s="22"/>
      <c r="E801" s="22"/>
      <c r="F801" s="18"/>
      <c r="J801" s="18"/>
      <c r="M801" s="18"/>
    </row>
    <row r="802">
      <c r="C802" s="18"/>
      <c r="D802" s="22"/>
      <c r="E802" s="22"/>
      <c r="F802" s="18"/>
      <c r="J802" s="18"/>
      <c r="M802" s="18"/>
    </row>
    <row r="803">
      <c r="C803" s="18"/>
      <c r="D803" s="22"/>
      <c r="E803" s="22"/>
      <c r="F803" s="18"/>
      <c r="J803" s="18"/>
      <c r="M803" s="18"/>
    </row>
    <row r="804">
      <c r="C804" s="18"/>
      <c r="D804" s="22"/>
      <c r="E804" s="22"/>
      <c r="F804" s="18"/>
      <c r="J804" s="18"/>
      <c r="M804" s="18"/>
    </row>
    <row r="805">
      <c r="C805" s="18"/>
      <c r="D805" s="22"/>
      <c r="E805" s="22"/>
      <c r="F805" s="18"/>
      <c r="J805" s="18"/>
      <c r="M805" s="18"/>
    </row>
    <row r="806">
      <c r="C806" s="18"/>
      <c r="D806" s="22"/>
      <c r="E806" s="22"/>
      <c r="F806" s="18"/>
      <c r="J806" s="18"/>
      <c r="M806" s="18"/>
    </row>
    <row r="807">
      <c r="C807" s="18"/>
      <c r="D807" s="22"/>
      <c r="E807" s="22"/>
      <c r="F807" s="18"/>
      <c r="J807" s="18"/>
      <c r="M807" s="18"/>
    </row>
    <row r="808">
      <c r="C808" s="18"/>
      <c r="D808" s="22"/>
      <c r="E808" s="22"/>
      <c r="F808" s="18"/>
      <c r="J808" s="18"/>
      <c r="M808" s="18"/>
    </row>
    <row r="809">
      <c r="C809" s="18"/>
      <c r="D809" s="22"/>
      <c r="E809" s="22"/>
      <c r="F809" s="18"/>
      <c r="J809" s="18"/>
      <c r="M809" s="18"/>
    </row>
    <row r="810">
      <c r="C810" s="18"/>
      <c r="D810" s="22"/>
      <c r="E810" s="22"/>
      <c r="F810" s="18"/>
      <c r="J810" s="18"/>
      <c r="M810" s="18"/>
    </row>
    <row r="811">
      <c r="C811" s="18"/>
      <c r="D811" s="22"/>
      <c r="E811" s="22"/>
      <c r="F811" s="18"/>
      <c r="J811" s="18"/>
      <c r="M811" s="18"/>
    </row>
    <row r="812">
      <c r="C812" s="18"/>
      <c r="D812" s="22"/>
      <c r="E812" s="22"/>
      <c r="F812" s="18"/>
      <c r="J812" s="18"/>
      <c r="M812" s="18"/>
    </row>
    <row r="813">
      <c r="C813" s="18"/>
      <c r="D813" s="22"/>
      <c r="E813" s="22"/>
      <c r="F813" s="18"/>
      <c r="J813" s="18"/>
      <c r="M813" s="18"/>
    </row>
    <row r="814">
      <c r="C814" s="18"/>
      <c r="D814" s="22"/>
      <c r="E814" s="22"/>
      <c r="F814" s="18"/>
      <c r="J814" s="18"/>
      <c r="M814" s="18"/>
    </row>
    <row r="815">
      <c r="C815" s="18"/>
      <c r="D815" s="22"/>
      <c r="E815" s="22"/>
      <c r="F815" s="18"/>
      <c r="J815" s="18"/>
      <c r="M815" s="18"/>
    </row>
    <row r="816">
      <c r="C816" s="18"/>
      <c r="D816" s="22"/>
      <c r="E816" s="22"/>
      <c r="F816" s="18"/>
      <c r="J816" s="18"/>
      <c r="M816" s="18"/>
    </row>
    <row r="817">
      <c r="C817" s="18"/>
      <c r="D817" s="22"/>
      <c r="E817" s="22"/>
      <c r="F817" s="18"/>
      <c r="J817" s="18"/>
      <c r="M817" s="18"/>
    </row>
    <row r="818">
      <c r="C818" s="18"/>
      <c r="D818" s="22"/>
      <c r="E818" s="22"/>
      <c r="F818" s="18"/>
      <c r="J818" s="18"/>
      <c r="M818" s="18"/>
    </row>
    <row r="819">
      <c r="C819" s="18"/>
      <c r="D819" s="22"/>
      <c r="E819" s="22"/>
      <c r="F819" s="18"/>
      <c r="J819" s="18"/>
      <c r="M819" s="18"/>
    </row>
    <row r="820">
      <c r="C820" s="18"/>
      <c r="D820" s="22"/>
      <c r="E820" s="22"/>
      <c r="F820" s="18"/>
      <c r="J820" s="18"/>
      <c r="M820" s="18"/>
    </row>
    <row r="821">
      <c r="C821" s="18"/>
      <c r="D821" s="22"/>
      <c r="E821" s="22"/>
      <c r="F821" s="18"/>
      <c r="J821" s="18"/>
      <c r="M821" s="18"/>
    </row>
    <row r="822">
      <c r="C822" s="18"/>
      <c r="D822" s="22"/>
      <c r="E822" s="22"/>
      <c r="F822" s="18"/>
      <c r="J822" s="18"/>
      <c r="M822" s="18"/>
    </row>
    <row r="823">
      <c r="C823" s="18"/>
      <c r="D823" s="22"/>
      <c r="E823" s="22"/>
      <c r="F823" s="18"/>
      <c r="J823" s="18"/>
      <c r="M823" s="18"/>
    </row>
    <row r="824">
      <c r="C824" s="18"/>
      <c r="D824" s="22"/>
      <c r="E824" s="22"/>
      <c r="F824" s="18"/>
      <c r="J824" s="18"/>
      <c r="M824" s="18"/>
    </row>
    <row r="825">
      <c r="C825" s="18"/>
      <c r="D825" s="22"/>
      <c r="E825" s="22"/>
      <c r="F825" s="18"/>
      <c r="J825" s="18"/>
      <c r="M825" s="18"/>
    </row>
    <row r="826">
      <c r="C826" s="18"/>
      <c r="D826" s="22"/>
      <c r="E826" s="22"/>
      <c r="F826" s="18"/>
      <c r="J826" s="18"/>
      <c r="M826" s="18"/>
    </row>
    <row r="827">
      <c r="C827" s="18"/>
      <c r="D827" s="22"/>
      <c r="E827" s="22"/>
      <c r="F827" s="18"/>
      <c r="J827" s="18"/>
      <c r="M827" s="18"/>
    </row>
    <row r="828">
      <c r="C828" s="18"/>
      <c r="D828" s="22"/>
      <c r="E828" s="22"/>
      <c r="F828" s="18"/>
      <c r="J828" s="18"/>
      <c r="M828" s="18"/>
    </row>
    <row r="829">
      <c r="C829" s="18"/>
      <c r="D829" s="22"/>
      <c r="E829" s="22"/>
      <c r="F829" s="18"/>
      <c r="J829" s="18"/>
      <c r="M829" s="18"/>
    </row>
    <row r="830">
      <c r="C830" s="18"/>
      <c r="D830" s="22"/>
      <c r="E830" s="22"/>
      <c r="F830" s="18"/>
      <c r="J830" s="18"/>
      <c r="M830" s="18"/>
    </row>
    <row r="831">
      <c r="C831" s="18"/>
      <c r="D831" s="22"/>
      <c r="E831" s="22"/>
      <c r="F831" s="18"/>
      <c r="J831" s="18"/>
      <c r="M831" s="18"/>
    </row>
    <row r="832">
      <c r="C832" s="18"/>
      <c r="D832" s="22"/>
      <c r="E832" s="22"/>
      <c r="F832" s="18"/>
      <c r="J832" s="18"/>
      <c r="M832" s="18"/>
    </row>
    <row r="833">
      <c r="C833" s="18"/>
      <c r="D833" s="22"/>
      <c r="E833" s="22"/>
      <c r="F833" s="18"/>
      <c r="J833" s="18"/>
      <c r="M833" s="18"/>
    </row>
    <row r="834">
      <c r="C834" s="18"/>
      <c r="D834" s="22"/>
      <c r="E834" s="22"/>
      <c r="F834" s="18"/>
      <c r="J834" s="18"/>
      <c r="M834" s="18"/>
    </row>
    <row r="835">
      <c r="C835" s="18"/>
      <c r="D835" s="22"/>
      <c r="E835" s="22"/>
      <c r="F835" s="18"/>
      <c r="J835" s="18"/>
      <c r="M835" s="18"/>
    </row>
    <row r="836">
      <c r="C836" s="18"/>
      <c r="D836" s="22"/>
      <c r="E836" s="22"/>
      <c r="F836" s="18"/>
      <c r="J836" s="18"/>
      <c r="M836" s="18"/>
    </row>
    <row r="837">
      <c r="C837" s="18"/>
      <c r="D837" s="22"/>
      <c r="E837" s="22"/>
      <c r="F837" s="18"/>
      <c r="J837" s="18"/>
      <c r="M837" s="18"/>
    </row>
    <row r="838">
      <c r="C838" s="18"/>
      <c r="D838" s="22"/>
      <c r="E838" s="22"/>
      <c r="F838" s="18"/>
      <c r="J838" s="18"/>
      <c r="M838" s="18"/>
    </row>
    <row r="839">
      <c r="C839" s="18"/>
      <c r="D839" s="22"/>
      <c r="E839" s="22"/>
      <c r="F839" s="18"/>
      <c r="J839" s="18"/>
      <c r="M839" s="18"/>
    </row>
    <row r="840">
      <c r="C840" s="18"/>
      <c r="D840" s="22"/>
      <c r="E840" s="22"/>
      <c r="F840" s="18"/>
      <c r="J840" s="18"/>
      <c r="M840" s="18"/>
    </row>
    <row r="841">
      <c r="C841" s="18"/>
      <c r="D841" s="22"/>
      <c r="E841" s="22"/>
      <c r="F841" s="18"/>
      <c r="J841" s="18"/>
      <c r="M841" s="18"/>
    </row>
    <row r="842">
      <c r="C842" s="18"/>
      <c r="D842" s="22"/>
      <c r="E842" s="22"/>
      <c r="F842" s="18"/>
      <c r="J842" s="18"/>
      <c r="M842" s="18"/>
    </row>
    <row r="843">
      <c r="C843" s="18"/>
      <c r="D843" s="22"/>
      <c r="E843" s="22"/>
      <c r="F843" s="18"/>
      <c r="J843" s="18"/>
      <c r="M843" s="18"/>
    </row>
    <row r="844">
      <c r="C844" s="18"/>
      <c r="D844" s="22"/>
      <c r="E844" s="22"/>
      <c r="F844" s="18"/>
      <c r="J844" s="18"/>
      <c r="M844" s="18"/>
    </row>
    <row r="845">
      <c r="C845" s="18"/>
      <c r="D845" s="22"/>
      <c r="E845" s="22"/>
      <c r="F845" s="18"/>
      <c r="J845" s="18"/>
      <c r="M845" s="18"/>
    </row>
    <row r="846">
      <c r="C846" s="18"/>
      <c r="D846" s="22"/>
      <c r="E846" s="22"/>
      <c r="F846" s="18"/>
      <c r="J846" s="18"/>
      <c r="M846" s="18"/>
    </row>
    <row r="847">
      <c r="C847" s="18"/>
      <c r="D847" s="22"/>
      <c r="E847" s="22"/>
      <c r="F847" s="18"/>
      <c r="J847" s="18"/>
      <c r="M847" s="18"/>
    </row>
    <row r="848">
      <c r="C848" s="18"/>
      <c r="D848" s="22"/>
      <c r="E848" s="22"/>
      <c r="F848" s="18"/>
      <c r="J848" s="18"/>
      <c r="M848" s="18"/>
    </row>
    <row r="849">
      <c r="C849" s="18"/>
      <c r="D849" s="22"/>
      <c r="E849" s="22"/>
      <c r="F849" s="18"/>
      <c r="J849" s="18"/>
      <c r="M849" s="18"/>
    </row>
    <row r="850">
      <c r="C850" s="18"/>
      <c r="D850" s="22"/>
      <c r="E850" s="22"/>
      <c r="F850" s="18"/>
      <c r="J850" s="18"/>
      <c r="M850" s="18"/>
    </row>
    <row r="851">
      <c r="C851" s="18"/>
      <c r="D851" s="22"/>
      <c r="E851" s="22"/>
      <c r="F851" s="18"/>
      <c r="J851" s="18"/>
      <c r="M851" s="18"/>
    </row>
    <row r="852">
      <c r="C852" s="18"/>
      <c r="D852" s="22"/>
      <c r="E852" s="22"/>
      <c r="F852" s="18"/>
      <c r="J852" s="18"/>
      <c r="M852" s="18"/>
    </row>
    <row r="853">
      <c r="C853" s="18"/>
      <c r="D853" s="22"/>
      <c r="E853" s="22"/>
      <c r="F853" s="18"/>
      <c r="J853" s="18"/>
      <c r="M853" s="18"/>
    </row>
    <row r="854">
      <c r="C854" s="18"/>
      <c r="D854" s="22"/>
      <c r="E854" s="22"/>
      <c r="F854" s="18"/>
      <c r="J854" s="18"/>
      <c r="M854" s="18"/>
    </row>
    <row r="855">
      <c r="C855" s="18"/>
      <c r="D855" s="22"/>
      <c r="E855" s="22"/>
      <c r="F855" s="18"/>
      <c r="J855" s="18"/>
      <c r="M855" s="18"/>
    </row>
    <row r="856">
      <c r="C856" s="18"/>
      <c r="D856" s="22"/>
      <c r="E856" s="22"/>
      <c r="F856" s="18"/>
      <c r="J856" s="18"/>
      <c r="M856" s="18"/>
    </row>
    <row r="857">
      <c r="C857" s="18"/>
      <c r="D857" s="22"/>
      <c r="E857" s="22"/>
      <c r="F857" s="18"/>
      <c r="J857" s="18"/>
      <c r="M857" s="18"/>
    </row>
    <row r="858">
      <c r="C858" s="18"/>
      <c r="D858" s="22"/>
      <c r="E858" s="22"/>
      <c r="F858" s="18"/>
      <c r="J858" s="18"/>
      <c r="M858" s="18"/>
    </row>
    <row r="859">
      <c r="C859" s="18"/>
      <c r="D859" s="22"/>
      <c r="E859" s="22"/>
      <c r="F859" s="18"/>
      <c r="J859" s="18"/>
      <c r="M859" s="18"/>
    </row>
    <row r="860">
      <c r="C860" s="18"/>
      <c r="D860" s="22"/>
      <c r="E860" s="22"/>
      <c r="F860" s="18"/>
      <c r="J860" s="18"/>
      <c r="M860" s="18"/>
    </row>
    <row r="861">
      <c r="C861" s="18"/>
      <c r="D861" s="22"/>
      <c r="E861" s="22"/>
      <c r="F861" s="18"/>
      <c r="J861" s="18"/>
      <c r="M861" s="18"/>
    </row>
    <row r="862">
      <c r="C862" s="18"/>
      <c r="D862" s="22"/>
      <c r="E862" s="22"/>
      <c r="F862" s="18"/>
      <c r="J862" s="18"/>
      <c r="M862" s="18"/>
    </row>
    <row r="863">
      <c r="C863" s="18"/>
      <c r="D863" s="22"/>
      <c r="E863" s="22"/>
      <c r="F863" s="18"/>
      <c r="J863" s="18"/>
      <c r="M863" s="18"/>
    </row>
    <row r="864">
      <c r="C864" s="18"/>
      <c r="D864" s="22"/>
      <c r="E864" s="22"/>
      <c r="F864" s="18"/>
      <c r="J864" s="18"/>
      <c r="M864" s="18"/>
    </row>
    <row r="865">
      <c r="C865" s="18"/>
      <c r="D865" s="22"/>
      <c r="E865" s="22"/>
      <c r="F865" s="18"/>
      <c r="J865" s="18"/>
      <c r="M865" s="18"/>
    </row>
    <row r="866">
      <c r="C866" s="18"/>
      <c r="D866" s="22"/>
      <c r="E866" s="22"/>
      <c r="F866" s="18"/>
      <c r="J866" s="18"/>
      <c r="M866" s="18"/>
    </row>
    <row r="867">
      <c r="C867" s="18"/>
      <c r="D867" s="22"/>
      <c r="E867" s="22"/>
      <c r="F867" s="18"/>
      <c r="J867" s="18"/>
      <c r="M867" s="18"/>
    </row>
    <row r="868">
      <c r="C868" s="18"/>
      <c r="D868" s="22"/>
      <c r="E868" s="22"/>
      <c r="F868" s="18"/>
      <c r="J868" s="18"/>
      <c r="M868" s="18"/>
    </row>
    <row r="869">
      <c r="C869" s="18"/>
      <c r="D869" s="22"/>
      <c r="E869" s="22"/>
      <c r="F869" s="18"/>
      <c r="J869" s="18"/>
      <c r="M869" s="18"/>
    </row>
    <row r="870">
      <c r="C870" s="18"/>
      <c r="D870" s="22"/>
      <c r="E870" s="22"/>
      <c r="F870" s="18"/>
      <c r="J870" s="18"/>
      <c r="M870" s="18"/>
    </row>
    <row r="871">
      <c r="C871" s="18"/>
      <c r="D871" s="22"/>
      <c r="E871" s="22"/>
      <c r="F871" s="18"/>
      <c r="J871" s="18"/>
      <c r="M871" s="18"/>
    </row>
    <row r="872">
      <c r="C872" s="18"/>
      <c r="D872" s="22"/>
      <c r="E872" s="22"/>
      <c r="F872" s="18"/>
      <c r="J872" s="18"/>
      <c r="M872" s="18"/>
    </row>
    <row r="873">
      <c r="C873" s="18"/>
      <c r="D873" s="22"/>
      <c r="E873" s="22"/>
      <c r="F873" s="18"/>
      <c r="J873" s="18"/>
      <c r="M873" s="18"/>
    </row>
    <row r="874">
      <c r="C874" s="18"/>
      <c r="D874" s="22"/>
      <c r="E874" s="22"/>
      <c r="F874" s="18"/>
      <c r="J874" s="18"/>
      <c r="M874" s="18"/>
    </row>
    <row r="875">
      <c r="C875" s="18"/>
      <c r="D875" s="22"/>
      <c r="E875" s="22"/>
      <c r="F875" s="18"/>
      <c r="J875" s="18"/>
      <c r="M875" s="18"/>
    </row>
    <row r="876">
      <c r="C876" s="18"/>
      <c r="D876" s="22"/>
      <c r="E876" s="22"/>
      <c r="F876" s="18"/>
      <c r="J876" s="18"/>
      <c r="M876" s="18"/>
    </row>
    <row r="877">
      <c r="C877" s="18"/>
      <c r="D877" s="22"/>
      <c r="E877" s="22"/>
      <c r="F877" s="18"/>
      <c r="J877" s="18"/>
      <c r="M877" s="18"/>
    </row>
    <row r="878">
      <c r="C878" s="18"/>
      <c r="D878" s="22"/>
      <c r="E878" s="22"/>
      <c r="F878" s="18"/>
      <c r="J878" s="18"/>
      <c r="M878" s="18"/>
    </row>
    <row r="879">
      <c r="C879" s="18"/>
      <c r="D879" s="22"/>
      <c r="E879" s="22"/>
      <c r="F879" s="18"/>
      <c r="J879" s="18"/>
      <c r="M879" s="18"/>
    </row>
    <row r="880">
      <c r="C880" s="18"/>
      <c r="D880" s="22"/>
      <c r="E880" s="22"/>
      <c r="F880" s="18"/>
      <c r="J880" s="18"/>
      <c r="M880" s="18"/>
    </row>
    <row r="881">
      <c r="C881" s="18"/>
      <c r="D881" s="22"/>
      <c r="E881" s="22"/>
      <c r="F881" s="18"/>
      <c r="J881" s="18"/>
      <c r="M881" s="18"/>
    </row>
    <row r="882">
      <c r="C882" s="18"/>
      <c r="D882" s="22"/>
      <c r="E882" s="22"/>
      <c r="F882" s="18"/>
      <c r="J882" s="18"/>
      <c r="M882" s="18"/>
    </row>
    <row r="883">
      <c r="C883" s="18"/>
      <c r="D883" s="22"/>
      <c r="E883" s="22"/>
      <c r="F883" s="18"/>
      <c r="J883" s="18"/>
      <c r="M883" s="18"/>
    </row>
    <row r="884">
      <c r="C884" s="18"/>
      <c r="D884" s="22"/>
      <c r="E884" s="22"/>
      <c r="F884" s="18"/>
      <c r="J884" s="18"/>
      <c r="M884" s="18"/>
    </row>
    <row r="885">
      <c r="C885" s="18"/>
      <c r="D885" s="22"/>
      <c r="E885" s="22"/>
      <c r="F885" s="18"/>
      <c r="J885" s="18"/>
      <c r="M885" s="18"/>
    </row>
    <row r="886">
      <c r="C886" s="18"/>
      <c r="D886" s="22"/>
      <c r="E886" s="22"/>
      <c r="F886" s="18"/>
      <c r="J886" s="18"/>
      <c r="M886" s="18"/>
    </row>
    <row r="887">
      <c r="C887" s="18"/>
      <c r="D887" s="22"/>
      <c r="E887" s="22"/>
      <c r="F887" s="18"/>
      <c r="J887" s="18"/>
      <c r="M887" s="18"/>
    </row>
    <row r="888">
      <c r="C888" s="18"/>
      <c r="D888" s="22"/>
      <c r="E888" s="22"/>
      <c r="F888" s="18"/>
      <c r="J888" s="18"/>
      <c r="M888" s="18"/>
    </row>
    <row r="889">
      <c r="C889" s="18"/>
      <c r="D889" s="22"/>
      <c r="E889" s="22"/>
      <c r="F889" s="18"/>
      <c r="J889" s="18"/>
      <c r="M889" s="18"/>
    </row>
    <row r="890">
      <c r="C890" s="18"/>
      <c r="D890" s="22"/>
      <c r="E890" s="22"/>
      <c r="F890" s="18"/>
      <c r="J890" s="18"/>
      <c r="M890" s="18"/>
    </row>
    <row r="891">
      <c r="C891" s="18"/>
      <c r="D891" s="22"/>
      <c r="E891" s="22"/>
      <c r="F891" s="18"/>
      <c r="J891" s="18"/>
      <c r="M891" s="18"/>
    </row>
    <row r="892">
      <c r="C892" s="18"/>
      <c r="D892" s="22"/>
      <c r="E892" s="22"/>
      <c r="F892" s="18"/>
      <c r="J892" s="18"/>
      <c r="M892" s="18"/>
    </row>
    <row r="893">
      <c r="C893" s="18"/>
      <c r="D893" s="22"/>
      <c r="E893" s="22"/>
      <c r="F893" s="18"/>
      <c r="J893" s="18"/>
      <c r="M893" s="18"/>
    </row>
    <row r="894">
      <c r="C894" s="18"/>
      <c r="D894" s="22"/>
      <c r="E894" s="22"/>
      <c r="F894" s="18"/>
      <c r="J894" s="18"/>
      <c r="M894" s="18"/>
    </row>
    <row r="895">
      <c r="C895" s="18"/>
      <c r="D895" s="22"/>
      <c r="E895" s="22"/>
      <c r="F895" s="18"/>
      <c r="J895" s="18"/>
      <c r="M895" s="18"/>
    </row>
    <row r="896">
      <c r="C896" s="18"/>
      <c r="D896" s="22"/>
      <c r="E896" s="22"/>
      <c r="F896" s="18"/>
      <c r="J896" s="18"/>
      <c r="M896" s="18"/>
    </row>
    <row r="897">
      <c r="C897" s="18"/>
      <c r="D897" s="22"/>
      <c r="E897" s="22"/>
      <c r="F897" s="18"/>
      <c r="J897" s="18"/>
      <c r="M897" s="18"/>
    </row>
    <row r="898">
      <c r="C898" s="18"/>
      <c r="D898" s="22"/>
      <c r="E898" s="22"/>
      <c r="F898" s="18"/>
      <c r="J898" s="18"/>
      <c r="M898" s="18"/>
    </row>
    <row r="899">
      <c r="C899" s="18"/>
      <c r="D899" s="22"/>
      <c r="E899" s="22"/>
      <c r="F899" s="18"/>
      <c r="J899" s="18"/>
      <c r="M899" s="18"/>
    </row>
    <row r="900">
      <c r="C900" s="18"/>
      <c r="D900" s="22"/>
      <c r="E900" s="22"/>
      <c r="F900" s="18"/>
      <c r="J900" s="18"/>
      <c r="M900" s="18"/>
    </row>
    <row r="901">
      <c r="C901" s="18"/>
      <c r="D901" s="22"/>
      <c r="E901" s="22"/>
      <c r="F901" s="18"/>
      <c r="J901" s="18"/>
      <c r="M901" s="18"/>
    </row>
    <row r="902">
      <c r="C902" s="18"/>
      <c r="D902" s="22"/>
      <c r="E902" s="22"/>
      <c r="F902" s="18"/>
      <c r="J902" s="18"/>
      <c r="M902" s="18"/>
    </row>
    <row r="903">
      <c r="C903" s="18"/>
      <c r="D903" s="22"/>
      <c r="E903" s="22"/>
      <c r="F903" s="18"/>
      <c r="J903" s="18"/>
      <c r="M903" s="18"/>
    </row>
    <row r="904">
      <c r="C904" s="18"/>
      <c r="D904" s="22"/>
      <c r="E904" s="22"/>
      <c r="F904" s="18"/>
      <c r="J904" s="18"/>
      <c r="M904" s="18"/>
    </row>
    <row r="905">
      <c r="C905" s="18"/>
      <c r="D905" s="22"/>
      <c r="E905" s="22"/>
      <c r="F905" s="18"/>
      <c r="J905" s="18"/>
      <c r="M905" s="18"/>
    </row>
    <row r="906">
      <c r="C906" s="18"/>
      <c r="D906" s="22"/>
      <c r="E906" s="22"/>
      <c r="F906" s="18"/>
      <c r="J906" s="18"/>
      <c r="M906" s="18"/>
    </row>
    <row r="907">
      <c r="C907" s="18"/>
      <c r="D907" s="22"/>
      <c r="E907" s="22"/>
      <c r="F907" s="18"/>
      <c r="J907" s="18"/>
      <c r="M907" s="18"/>
    </row>
    <row r="908">
      <c r="C908" s="18"/>
      <c r="D908" s="22"/>
      <c r="E908" s="22"/>
      <c r="F908" s="18"/>
      <c r="J908" s="18"/>
      <c r="M908" s="18"/>
    </row>
    <row r="909">
      <c r="C909" s="18"/>
      <c r="D909" s="22"/>
      <c r="E909" s="22"/>
      <c r="F909" s="18"/>
      <c r="J909" s="18"/>
      <c r="M909" s="18"/>
    </row>
    <row r="910">
      <c r="C910" s="18"/>
      <c r="D910" s="22"/>
      <c r="E910" s="22"/>
      <c r="F910" s="18"/>
      <c r="J910" s="18"/>
      <c r="M910" s="18"/>
    </row>
    <row r="911">
      <c r="C911" s="18"/>
      <c r="D911" s="22"/>
      <c r="E911" s="22"/>
      <c r="F911" s="18"/>
      <c r="J911" s="18"/>
      <c r="M911" s="18"/>
    </row>
    <row r="912">
      <c r="C912" s="18"/>
      <c r="D912" s="22"/>
      <c r="E912" s="22"/>
      <c r="F912" s="18"/>
      <c r="J912" s="18"/>
      <c r="M912" s="18"/>
    </row>
    <row r="913">
      <c r="C913" s="18"/>
      <c r="D913" s="22"/>
      <c r="E913" s="22"/>
      <c r="F913" s="18"/>
      <c r="J913" s="18"/>
      <c r="M913" s="18"/>
    </row>
    <row r="914">
      <c r="C914" s="18"/>
      <c r="D914" s="22"/>
      <c r="E914" s="22"/>
      <c r="F914" s="18"/>
      <c r="J914" s="18"/>
      <c r="M914" s="18"/>
    </row>
    <row r="915">
      <c r="C915" s="18"/>
      <c r="D915" s="22"/>
      <c r="E915" s="22"/>
      <c r="F915" s="18"/>
      <c r="J915" s="18"/>
      <c r="M915" s="18"/>
    </row>
    <row r="916">
      <c r="C916" s="18"/>
      <c r="D916" s="22"/>
      <c r="E916" s="22"/>
      <c r="F916" s="18"/>
      <c r="J916" s="18"/>
      <c r="M916" s="18"/>
    </row>
    <row r="917">
      <c r="C917" s="18"/>
      <c r="D917" s="22"/>
      <c r="E917" s="22"/>
      <c r="F917" s="18"/>
      <c r="J917" s="18"/>
      <c r="M917" s="18"/>
    </row>
    <row r="918">
      <c r="C918" s="18"/>
      <c r="D918" s="22"/>
      <c r="E918" s="22"/>
      <c r="F918" s="18"/>
      <c r="J918" s="18"/>
      <c r="M918" s="18"/>
    </row>
    <row r="919">
      <c r="C919" s="18"/>
      <c r="D919" s="22"/>
      <c r="E919" s="22"/>
      <c r="F919" s="18"/>
      <c r="J919" s="18"/>
      <c r="M919" s="18"/>
    </row>
    <row r="920">
      <c r="C920" s="18"/>
      <c r="D920" s="22"/>
      <c r="E920" s="22"/>
      <c r="F920" s="18"/>
      <c r="J920" s="18"/>
      <c r="M920" s="18"/>
    </row>
    <row r="921">
      <c r="C921" s="18"/>
      <c r="D921" s="22"/>
      <c r="E921" s="22"/>
      <c r="F921" s="18"/>
      <c r="J921" s="18"/>
      <c r="M921" s="18"/>
    </row>
    <row r="922">
      <c r="C922" s="18"/>
      <c r="D922" s="22"/>
      <c r="E922" s="22"/>
      <c r="F922" s="18"/>
      <c r="J922" s="18"/>
      <c r="M922" s="18"/>
    </row>
    <row r="923">
      <c r="C923" s="18"/>
      <c r="D923" s="22"/>
      <c r="E923" s="22"/>
      <c r="F923" s="18"/>
      <c r="J923" s="18"/>
      <c r="M923" s="18"/>
    </row>
    <row r="924">
      <c r="C924" s="18"/>
      <c r="D924" s="22"/>
      <c r="E924" s="22"/>
      <c r="F924" s="18"/>
      <c r="J924" s="18"/>
      <c r="M924" s="18"/>
    </row>
    <row r="925">
      <c r="C925" s="18"/>
      <c r="D925" s="22"/>
      <c r="E925" s="22"/>
      <c r="F925" s="18"/>
      <c r="J925" s="18"/>
      <c r="M925" s="18"/>
    </row>
    <row r="926">
      <c r="C926" s="18"/>
      <c r="D926" s="22"/>
      <c r="E926" s="22"/>
      <c r="F926" s="18"/>
      <c r="J926" s="18"/>
      <c r="M926" s="18"/>
    </row>
    <row r="927">
      <c r="C927" s="18"/>
      <c r="D927" s="22"/>
      <c r="E927" s="22"/>
      <c r="F927" s="18"/>
      <c r="J927" s="18"/>
      <c r="M927" s="18"/>
    </row>
    <row r="928">
      <c r="C928" s="18"/>
      <c r="D928" s="22"/>
      <c r="E928" s="22"/>
      <c r="F928" s="18"/>
      <c r="J928" s="18"/>
      <c r="M928" s="18"/>
    </row>
    <row r="929">
      <c r="C929" s="18"/>
      <c r="D929" s="22"/>
      <c r="E929" s="22"/>
      <c r="F929" s="18"/>
      <c r="J929" s="18"/>
      <c r="M929" s="18"/>
    </row>
    <row r="930">
      <c r="C930" s="18"/>
      <c r="D930" s="22"/>
      <c r="E930" s="22"/>
      <c r="F930" s="18"/>
      <c r="J930" s="18"/>
      <c r="M930" s="18"/>
    </row>
    <row r="931">
      <c r="C931" s="18"/>
      <c r="D931" s="22"/>
      <c r="E931" s="22"/>
      <c r="F931" s="18"/>
      <c r="J931" s="18"/>
      <c r="M931" s="18"/>
    </row>
    <row r="932">
      <c r="C932" s="18"/>
      <c r="D932" s="22"/>
      <c r="E932" s="22"/>
      <c r="F932" s="18"/>
      <c r="J932" s="18"/>
      <c r="M932" s="18"/>
    </row>
    <row r="933">
      <c r="C933" s="18"/>
      <c r="D933" s="22"/>
      <c r="E933" s="22"/>
      <c r="F933" s="18"/>
      <c r="J933" s="18"/>
      <c r="M933" s="18"/>
    </row>
    <row r="934">
      <c r="C934" s="18"/>
      <c r="D934" s="22"/>
      <c r="E934" s="22"/>
      <c r="F934" s="18"/>
      <c r="J934" s="18"/>
      <c r="M934" s="18"/>
    </row>
    <row r="935">
      <c r="C935" s="18"/>
      <c r="D935" s="22"/>
      <c r="E935" s="22"/>
      <c r="F935" s="18"/>
      <c r="J935" s="18"/>
      <c r="M935" s="18"/>
    </row>
    <row r="936">
      <c r="C936" s="18"/>
      <c r="D936" s="22"/>
      <c r="E936" s="22"/>
      <c r="F936" s="18"/>
      <c r="J936" s="18"/>
      <c r="M936" s="18"/>
    </row>
    <row r="937">
      <c r="C937" s="18"/>
      <c r="D937" s="22"/>
      <c r="E937" s="22"/>
      <c r="F937" s="18"/>
      <c r="J937" s="18"/>
      <c r="M937" s="18"/>
    </row>
    <row r="938">
      <c r="C938" s="18"/>
      <c r="D938" s="22"/>
      <c r="E938" s="22"/>
      <c r="F938" s="18"/>
      <c r="J938" s="18"/>
      <c r="M938" s="18"/>
    </row>
    <row r="939">
      <c r="C939" s="18"/>
      <c r="D939" s="22"/>
      <c r="E939" s="22"/>
      <c r="F939" s="18"/>
      <c r="J939" s="18"/>
      <c r="M939" s="18"/>
    </row>
    <row r="940">
      <c r="C940" s="18"/>
      <c r="D940" s="22"/>
      <c r="E940" s="22"/>
      <c r="F940" s="18"/>
      <c r="J940" s="18"/>
      <c r="M940" s="18"/>
    </row>
    <row r="941">
      <c r="C941" s="18"/>
      <c r="D941" s="22"/>
      <c r="E941" s="22"/>
      <c r="F941" s="18"/>
      <c r="J941" s="18"/>
      <c r="M941" s="18"/>
    </row>
    <row r="942">
      <c r="C942" s="18"/>
      <c r="D942" s="22"/>
      <c r="E942" s="22"/>
      <c r="F942" s="18"/>
      <c r="J942" s="18"/>
      <c r="M942" s="18"/>
    </row>
    <row r="943">
      <c r="C943" s="18"/>
      <c r="D943" s="22"/>
      <c r="E943" s="22"/>
      <c r="F943" s="18"/>
      <c r="J943" s="18"/>
      <c r="M943" s="18"/>
    </row>
    <row r="944">
      <c r="C944" s="18"/>
      <c r="D944" s="22"/>
      <c r="E944" s="22"/>
      <c r="F944" s="18"/>
      <c r="J944" s="18"/>
      <c r="M944" s="18"/>
    </row>
    <row r="945">
      <c r="C945" s="18"/>
      <c r="D945" s="22"/>
      <c r="E945" s="22"/>
      <c r="F945" s="18"/>
      <c r="J945" s="18"/>
      <c r="M945" s="18"/>
    </row>
    <row r="946">
      <c r="C946" s="18"/>
      <c r="D946" s="22"/>
      <c r="E946" s="22"/>
      <c r="F946" s="18"/>
      <c r="J946" s="18"/>
      <c r="M946" s="18"/>
    </row>
    <row r="947">
      <c r="C947" s="18"/>
      <c r="D947" s="22"/>
      <c r="E947" s="22"/>
      <c r="F947" s="18"/>
      <c r="J947" s="18"/>
      <c r="M947" s="18"/>
    </row>
    <row r="948">
      <c r="C948" s="18"/>
      <c r="D948" s="22"/>
      <c r="E948" s="22"/>
      <c r="F948" s="18"/>
      <c r="J948" s="18"/>
      <c r="M948" s="18"/>
    </row>
    <row r="949">
      <c r="C949" s="18"/>
      <c r="D949" s="22"/>
      <c r="E949" s="22"/>
      <c r="F949" s="18"/>
      <c r="J949" s="18"/>
      <c r="M949" s="18"/>
    </row>
    <row r="950">
      <c r="C950" s="18"/>
      <c r="D950" s="22"/>
      <c r="E950" s="22"/>
      <c r="F950" s="18"/>
      <c r="J950" s="18"/>
      <c r="M950" s="18"/>
    </row>
    <row r="951">
      <c r="C951" s="18"/>
      <c r="D951" s="22"/>
      <c r="E951" s="22"/>
      <c r="F951" s="18"/>
      <c r="J951" s="18"/>
      <c r="M951" s="18"/>
    </row>
    <row r="952">
      <c r="C952" s="18"/>
      <c r="D952" s="22"/>
      <c r="E952" s="22"/>
      <c r="F952" s="18"/>
      <c r="J952" s="18"/>
      <c r="M952" s="18"/>
    </row>
    <row r="953">
      <c r="C953" s="18"/>
      <c r="D953" s="22"/>
      <c r="E953" s="22"/>
      <c r="F953" s="18"/>
      <c r="J953" s="18"/>
      <c r="M953" s="18"/>
    </row>
    <row r="954">
      <c r="C954" s="18"/>
      <c r="D954" s="22"/>
      <c r="E954" s="22"/>
      <c r="F954" s="18"/>
      <c r="J954" s="18"/>
      <c r="M954" s="18"/>
    </row>
    <row r="955">
      <c r="C955" s="18"/>
      <c r="D955" s="22"/>
      <c r="E955" s="22"/>
      <c r="F955" s="18"/>
      <c r="J955" s="18"/>
      <c r="M955" s="18"/>
    </row>
    <row r="956">
      <c r="C956" s="18"/>
      <c r="D956" s="22"/>
      <c r="E956" s="22"/>
      <c r="F956" s="18"/>
      <c r="J956" s="18"/>
      <c r="M956" s="18"/>
    </row>
    <row r="957">
      <c r="C957" s="18"/>
      <c r="D957" s="22"/>
      <c r="E957" s="22"/>
      <c r="F957" s="18"/>
      <c r="J957" s="18"/>
      <c r="M957" s="18"/>
    </row>
    <row r="958">
      <c r="C958" s="18"/>
      <c r="D958" s="22"/>
      <c r="E958" s="22"/>
      <c r="F958" s="18"/>
      <c r="J958" s="18"/>
      <c r="M958" s="18"/>
    </row>
    <row r="959">
      <c r="C959" s="18"/>
      <c r="D959" s="22"/>
      <c r="E959" s="22"/>
      <c r="F959" s="18"/>
      <c r="J959" s="18"/>
      <c r="M959" s="18"/>
    </row>
    <row r="960">
      <c r="C960" s="18"/>
      <c r="D960" s="22"/>
      <c r="E960" s="22"/>
      <c r="F960" s="18"/>
      <c r="J960" s="18"/>
      <c r="M960" s="18"/>
    </row>
    <row r="961">
      <c r="C961" s="18"/>
      <c r="D961" s="22"/>
      <c r="E961" s="22"/>
      <c r="F961" s="18"/>
      <c r="J961" s="18"/>
      <c r="M961" s="18"/>
    </row>
    <row r="962">
      <c r="C962" s="18"/>
      <c r="D962" s="22"/>
      <c r="E962" s="22"/>
      <c r="F962" s="18"/>
      <c r="J962" s="18"/>
      <c r="M962" s="18"/>
    </row>
    <row r="963">
      <c r="C963" s="18"/>
      <c r="D963" s="22"/>
      <c r="E963" s="22"/>
      <c r="F963" s="18"/>
      <c r="J963" s="18"/>
      <c r="M963" s="18"/>
    </row>
    <row r="964">
      <c r="C964" s="18"/>
      <c r="D964" s="22"/>
      <c r="E964" s="22"/>
      <c r="F964" s="18"/>
      <c r="J964" s="18"/>
      <c r="M964" s="18"/>
    </row>
    <row r="965">
      <c r="C965" s="18"/>
      <c r="D965" s="22"/>
      <c r="E965" s="22"/>
      <c r="F965" s="18"/>
      <c r="J965" s="18"/>
      <c r="M965" s="18"/>
    </row>
    <row r="966">
      <c r="C966" s="18"/>
      <c r="D966" s="22"/>
      <c r="E966" s="22"/>
      <c r="F966" s="18"/>
      <c r="J966" s="18"/>
      <c r="M966" s="18"/>
    </row>
    <row r="967">
      <c r="C967" s="18"/>
      <c r="D967" s="22"/>
      <c r="E967" s="22"/>
      <c r="F967" s="18"/>
      <c r="J967" s="18"/>
      <c r="M967" s="18"/>
    </row>
    <row r="968">
      <c r="C968" s="18"/>
      <c r="D968" s="22"/>
      <c r="E968" s="22"/>
      <c r="F968" s="18"/>
      <c r="J968" s="18"/>
      <c r="M968" s="18"/>
    </row>
    <row r="969">
      <c r="C969" s="18"/>
      <c r="D969" s="22"/>
      <c r="E969" s="22"/>
      <c r="F969" s="18"/>
      <c r="J969" s="18"/>
      <c r="M969" s="18"/>
    </row>
    <row r="970">
      <c r="C970" s="18"/>
      <c r="D970" s="22"/>
      <c r="E970" s="22"/>
      <c r="F970" s="18"/>
      <c r="J970" s="18"/>
      <c r="M970" s="18"/>
    </row>
    <row r="971">
      <c r="C971" s="18"/>
      <c r="D971" s="22"/>
      <c r="E971" s="22"/>
      <c r="F971" s="18"/>
      <c r="J971" s="18"/>
      <c r="M971" s="18"/>
    </row>
    <row r="972">
      <c r="C972" s="18"/>
      <c r="D972" s="22"/>
      <c r="E972" s="22"/>
      <c r="F972" s="18"/>
      <c r="J972" s="18"/>
      <c r="M972" s="18"/>
    </row>
    <row r="973">
      <c r="C973" s="18"/>
      <c r="D973" s="22"/>
      <c r="E973" s="22"/>
      <c r="F973" s="18"/>
      <c r="J973" s="18"/>
      <c r="M973" s="18"/>
    </row>
    <row r="974">
      <c r="C974" s="18"/>
      <c r="D974" s="22"/>
      <c r="E974" s="22"/>
      <c r="F974" s="18"/>
      <c r="J974" s="18"/>
      <c r="M974" s="18"/>
    </row>
    <row r="975">
      <c r="C975" s="18"/>
      <c r="D975" s="22"/>
      <c r="E975" s="22"/>
      <c r="F975" s="18"/>
      <c r="J975" s="18"/>
      <c r="M975" s="18"/>
    </row>
    <row r="976">
      <c r="C976" s="18"/>
      <c r="D976" s="22"/>
      <c r="E976" s="22"/>
      <c r="F976" s="18"/>
      <c r="J976" s="18"/>
      <c r="M976" s="18"/>
    </row>
    <row r="977">
      <c r="C977" s="18"/>
      <c r="D977" s="22"/>
      <c r="E977" s="22"/>
      <c r="F977" s="18"/>
      <c r="J977" s="18"/>
      <c r="M977" s="18"/>
    </row>
    <row r="978">
      <c r="C978" s="18"/>
      <c r="D978" s="22"/>
      <c r="E978" s="22"/>
      <c r="F978" s="18"/>
      <c r="J978" s="18"/>
      <c r="M978" s="18"/>
    </row>
    <row r="979">
      <c r="C979" s="18"/>
      <c r="D979" s="22"/>
      <c r="E979" s="22"/>
      <c r="F979" s="18"/>
      <c r="J979" s="18"/>
      <c r="M979" s="18"/>
    </row>
    <row r="980">
      <c r="C980" s="18"/>
      <c r="D980" s="22"/>
      <c r="E980" s="22"/>
      <c r="F980" s="18"/>
      <c r="J980" s="18"/>
      <c r="M980" s="18"/>
    </row>
    <row r="981">
      <c r="C981" s="18"/>
      <c r="D981" s="22"/>
      <c r="E981" s="22"/>
      <c r="F981" s="18"/>
      <c r="J981" s="18"/>
      <c r="M981" s="18"/>
    </row>
    <row r="982">
      <c r="C982" s="18"/>
      <c r="D982" s="22"/>
      <c r="E982" s="22"/>
      <c r="F982" s="18"/>
      <c r="J982" s="18"/>
      <c r="M982" s="18"/>
    </row>
    <row r="983">
      <c r="C983" s="18"/>
      <c r="D983" s="22"/>
      <c r="E983" s="22"/>
      <c r="F983" s="18"/>
      <c r="J983" s="18"/>
      <c r="M983" s="18"/>
    </row>
    <row r="984">
      <c r="C984" s="18"/>
      <c r="D984" s="22"/>
      <c r="E984" s="22"/>
      <c r="F984" s="18"/>
      <c r="J984" s="18"/>
      <c r="M984" s="18"/>
    </row>
    <row r="985">
      <c r="C985" s="18"/>
      <c r="D985" s="22"/>
      <c r="E985" s="22"/>
      <c r="F985" s="18"/>
      <c r="J985" s="18"/>
      <c r="M985" s="18"/>
    </row>
    <row r="986">
      <c r="C986" s="18"/>
      <c r="D986" s="22"/>
      <c r="E986" s="22"/>
      <c r="F986" s="18"/>
      <c r="J986" s="18"/>
      <c r="M986" s="18"/>
    </row>
    <row r="987">
      <c r="C987" s="18"/>
      <c r="D987" s="22"/>
      <c r="E987" s="22"/>
      <c r="F987" s="18"/>
      <c r="J987" s="18"/>
      <c r="M987" s="18"/>
    </row>
    <row r="988">
      <c r="C988" s="18"/>
      <c r="D988" s="22"/>
      <c r="E988" s="22"/>
      <c r="F988" s="18"/>
      <c r="J988" s="18"/>
      <c r="M988" s="18"/>
    </row>
    <row r="989">
      <c r="C989" s="18"/>
      <c r="D989" s="22"/>
      <c r="E989" s="22"/>
      <c r="F989" s="18"/>
      <c r="J989" s="18"/>
      <c r="M989" s="18"/>
    </row>
    <row r="990">
      <c r="C990" s="18"/>
      <c r="D990" s="22"/>
      <c r="E990" s="22"/>
      <c r="F990" s="18"/>
      <c r="J990" s="18"/>
      <c r="M990" s="18"/>
    </row>
    <row r="991">
      <c r="C991" s="18"/>
      <c r="D991" s="22"/>
      <c r="E991" s="22"/>
      <c r="F991" s="18"/>
      <c r="J991" s="18"/>
      <c r="M991" s="18"/>
    </row>
    <row r="992">
      <c r="C992" s="18"/>
      <c r="D992" s="22"/>
      <c r="E992" s="22"/>
      <c r="F992" s="18"/>
      <c r="J992" s="18"/>
      <c r="M992" s="18"/>
    </row>
  </sheetData>
  <mergeCells count="3">
    <mergeCell ref="D1:E1"/>
    <mergeCell ref="K1:L1"/>
    <mergeCell ref="D8:E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3" t="s">
        <v>61</v>
      </c>
      <c r="E1" s="23" t="s">
        <v>62</v>
      </c>
      <c r="H1" s="23" t="s">
        <v>63</v>
      </c>
      <c r="K1" s="23" t="s">
        <v>64</v>
      </c>
    </row>
    <row r="2">
      <c r="B2" s="2" t="s">
        <v>65</v>
      </c>
      <c r="C2" s="2" t="s">
        <v>66</v>
      </c>
      <c r="D2" s="2" t="s">
        <v>67</v>
      </c>
      <c r="E2" s="2" t="s">
        <v>65</v>
      </c>
      <c r="F2" s="2" t="s">
        <v>66</v>
      </c>
      <c r="G2" s="2" t="s">
        <v>67</v>
      </c>
      <c r="H2" s="2" t="s">
        <v>65</v>
      </c>
      <c r="I2" s="2" t="s">
        <v>66</v>
      </c>
      <c r="J2" s="2" t="s">
        <v>67</v>
      </c>
      <c r="K2" s="2" t="s">
        <v>65</v>
      </c>
      <c r="L2" s="2" t="s">
        <v>66</v>
      </c>
      <c r="M2" s="2" t="s">
        <v>67</v>
      </c>
      <c r="P2" s="2" t="s">
        <v>65</v>
      </c>
      <c r="Q2" s="2" t="s">
        <v>66</v>
      </c>
      <c r="R2" s="2" t="s">
        <v>67</v>
      </c>
    </row>
    <row r="3">
      <c r="A3" s="2">
        <v>-0.5</v>
      </c>
      <c r="B3" s="2">
        <v>-124.286555862233</v>
      </c>
      <c r="C3" s="2">
        <v>-4.37350506559494</v>
      </c>
      <c r="D3" s="2">
        <v>-58.8821826825287</v>
      </c>
      <c r="E3" s="2">
        <v>-124.680477637776</v>
      </c>
      <c r="F3" s="2">
        <v>-4.3681617387112</v>
      </c>
      <c r="G3" s="2">
        <v>-59.0054402485877</v>
      </c>
      <c r="H3" s="2">
        <v>-125.035700885278</v>
      </c>
      <c r="I3" s="2">
        <v>-4.42476738284027</v>
      </c>
      <c r="J3" s="2">
        <v>-58.8600394905326</v>
      </c>
      <c r="K3" s="2">
        <v>-125.02941936453</v>
      </c>
      <c r="L3" s="2">
        <v>-4.412514459807</v>
      </c>
      <c r="M3" s="2">
        <v>-58.8994719865452</v>
      </c>
      <c r="O3" s="2" t="s">
        <v>68</v>
      </c>
      <c r="P3" s="3">
        <f t="shared" ref="P3:R3" si="1">AVERAGE(B3:B19,E3:E19,H3:H19,K3:K19)</f>
        <v>-125.244572</v>
      </c>
      <c r="Q3" s="3">
        <f t="shared" si="1"/>
        <v>-4.377321261</v>
      </c>
      <c r="R3" s="3">
        <f t="shared" si="1"/>
        <v>-58.84599384</v>
      </c>
    </row>
    <row r="4">
      <c r="A4" s="2">
        <v>-0.4375</v>
      </c>
      <c r="B4" s="2">
        <v>-124.575801737263</v>
      </c>
      <c r="C4" s="2">
        <v>-4.37501915227082</v>
      </c>
      <c r="D4" s="2">
        <v>-58.8736305617425</v>
      </c>
      <c r="E4" s="2">
        <v>-124.868819356366</v>
      </c>
      <c r="F4" s="2">
        <v>-4.36916674357</v>
      </c>
      <c r="G4" s="2">
        <v>-58.9905338651701</v>
      </c>
      <c r="H4" s="2">
        <v>-125.13606127888</v>
      </c>
      <c r="I4" s="2">
        <v>-4.41964908211015</v>
      </c>
      <c r="J4" s="2">
        <v>-58.8609669235314</v>
      </c>
      <c r="K4" s="2">
        <v>-125.130314849716</v>
      </c>
      <c r="L4" s="2">
        <v>-4.4073348281932</v>
      </c>
      <c r="M4" s="2">
        <v>-58.896771529473</v>
      </c>
      <c r="O4" s="2" t="s">
        <v>69</v>
      </c>
      <c r="P4" s="3">
        <f t="shared" ref="P4:R4" si="2">STDEV(B3:B19,E3:E19,H3:H19,K3:K19)</f>
        <v>0.3056321713</v>
      </c>
      <c r="Q4" s="3">
        <f t="shared" si="2"/>
        <v>0.01621305421</v>
      </c>
      <c r="R4" s="3">
        <f t="shared" si="2"/>
        <v>0.06860664971</v>
      </c>
    </row>
    <row r="5">
      <c r="A5" s="2">
        <v>-0.375</v>
      </c>
      <c r="B5" s="2">
        <v>-124.825678935175</v>
      </c>
      <c r="C5" s="2">
        <v>-4.3761660689014</v>
      </c>
      <c r="D5" s="2">
        <v>-58.8662950441219</v>
      </c>
      <c r="E5" s="2">
        <v>-125.033603173546</v>
      </c>
      <c r="F5" s="2">
        <v>-4.37020824461812</v>
      </c>
      <c r="G5" s="2">
        <v>-58.9743215247803</v>
      </c>
      <c r="H5" s="2">
        <v>-125.224635544698</v>
      </c>
      <c r="I5" s="2">
        <v>-4.41409721035008</v>
      </c>
      <c r="J5" s="2">
        <v>-58.8615664054778</v>
      </c>
      <c r="K5" s="2">
        <v>-125.219375526731</v>
      </c>
      <c r="L5" s="2">
        <v>-4.40211872559015</v>
      </c>
      <c r="M5" s="2">
        <v>-58.8933296502053</v>
      </c>
      <c r="O5" s="2" t="s">
        <v>70</v>
      </c>
      <c r="Q5" s="24">
        <f t="shared" ref="Q5:R5" si="3">Q3/$P$3</f>
        <v>0.03495018739</v>
      </c>
      <c r="R5" s="24">
        <f t="shared" si="3"/>
        <v>0.4698486561</v>
      </c>
    </row>
    <row r="6">
      <c r="A6" s="2">
        <v>-0.3125</v>
      </c>
      <c r="B6" s="2">
        <v>-125.036657045334</v>
      </c>
      <c r="C6" s="2">
        <v>-4.37697421227163</v>
      </c>
      <c r="D6" s="2">
        <v>-58.8602524549401</v>
      </c>
      <c r="E6" s="2">
        <v>-125.174462235777</v>
      </c>
      <c r="F6" s="2">
        <v>-4.37127199122</v>
      </c>
      <c r="G6" s="2">
        <v>-58.9568379579397</v>
      </c>
      <c r="H6" s="2">
        <v>-125.30137498725</v>
      </c>
      <c r="I6" s="2">
        <v>-4.40816955651487</v>
      </c>
      <c r="J6" s="2">
        <v>-58.8617178903907</v>
      </c>
      <c r="K6" s="2">
        <v>-125.296626134912</v>
      </c>
      <c r="L6" s="2">
        <v>-4.39696978596171</v>
      </c>
      <c r="M6" s="2">
        <v>-58.8890411480244</v>
      </c>
      <c r="O6" s="2" t="s">
        <v>71</v>
      </c>
      <c r="Q6" s="24">
        <f t="shared" ref="Q6:R6" si="4">Abs(Q4/$P$3)</f>
        <v>0.0001294511527</v>
      </c>
      <c r="R6" s="24">
        <f t="shared" si="4"/>
        <v>0.0005477814217</v>
      </c>
    </row>
    <row r="7">
      <c r="A7" s="2">
        <v>-0.25</v>
      </c>
      <c r="B7" s="2">
        <v>-125.208952231295</v>
      </c>
      <c r="C7" s="2">
        <v>-4.37746393407333</v>
      </c>
      <c r="D7" s="2">
        <v>-58.855572038297</v>
      </c>
      <c r="E7" s="2">
        <v>-125.291012622013</v>
      </c>
      <c r="F7" s="2">
        <v>-4.3723414627988</v>
      </c>
      <c r="G7" s="2">
        <v>-58.9381191219833</v>
      </c>
      <c r="H7" s="2">
        <v>-125.366245490765</v>
      </c>
      <c r="I7" s="2">
        <v>-4.40194352358326</v>
      </c>
      <c r="J7" s="2">
        <v>-58.8613012361842</v>
      </c>
      <c r="K7" s="2">
        <v>-125.362098310387</v>
      </c>
      <c r="L7" s="2">
        <v>-4.3920008853809</v>
      </c>
      <c r="M7" s="2">
        <v>-58.8838055135704</v>
      </c>
    </row>
    <row r="8">
      <c r="A8" s="2">
        <v>-0.1875</v>
      </c>
      <c r="B8" s="2">
        <v>-125.342534389786</v>
      </c>
      <c r="C8" s="2">
        <v>-4.37764588581842</v>
      </c>
      <c r="D8" s="2">
        <v>-58.85231610868</v>
      </c>
      <c r="E8" s="2">
        <v>-125.382864960359</v>
      </c>
      <c r="F8" s="2">
        <v>-4.37339794033279</v>
      </c>
      <c r="G8" s="2">
        <v>-58.9182015785599</v>
      </c>
      <c r="H8" s="2">
        <v>-125.419230202196</v>
      </c>
      <c r="I8" s="2">
        <v>-4.39551622439793</v>
      </c>
      <c r="J8" s="2">
        <v>-58.8601974338823</v>
      </c>
      <c r="K8" s="2">
        <v>-125.415829326923</v>
      </c>
      <c r="L8" s="2">
        <v>-4.3873301462417</v>
      </c>
      <c r="M8" s="2">
        <v>-58.8775282450338</v>
      </c>
    </row>
    <row r="9">
      <c r="A9" s="2">
        <v>-0.125</v>
      </c>
      <c r="B9" s="2">
        <v>-125.437018776719</v>
      </c>
      <c r="C9" s="2">
        <v>-4.37751909226282</v>
      </c>
      <c r="D9" s="2">
        <v>-58.8505402261347</v>
      </c>
      <c r="E9" s="2">
        <v>-125.449644386267</v>
      </c>
      <c r="F9" s="2">
        <v>-4.37442028160493</v>
      </c>
      <c r="G9" s="2">
        <v>-58.8971218645044</v>
      </c>
      <c r="H9" s="2">
        <v>-125.460330845285</v>
      </c>
      <c r="I9" s="2">
        <v>-4.38900343401935</v>
      </c>
      <c r="J9" s="2">
        <v>-58.8582899265224</v>
      </c>
      <c r="K9" s="2">
        <v>-125.457859717969</v>
      </c>
      <c r="L9" s="2">
        <v>-4.38307613341701</v>
      </c>
      <c r="M9" s="2">
        <v>-58.8701221317797</v>
      </c>
    </row>
    <row r="10">
      <c r="A10" s="2">
        <v>-0.0625</v>
      </c>
      <c r="B10" s="2">
        <v>-125.491931153408</v>
      </c>
      <c r="C10" s="2">
        <v>-4.37706859794597</v>
      </c>
      <c r="D10" s="2">
        <v>-58.8502933795464</v>
      </c>
      <c r="E10" s="2">
        <v>-125.491038210573</v>
      </c>
      <c r="F10" s="2">
        <v>-4.3753844081338</v>
      </c>
      <c r="G10" s="2">
        <v>-58.8749158608443</v>
      </c>
      <c r="H10" s="2">
        <v>-125.489567563419</v>
      </c>
      <c r="I10" s="2">
        <v>-4.38253726391984</v>
      </c>
      <c r="J10" s="2">
        <v>-58.855465992492</v>
      </c>
      <c r="K10" s="2">
        <v>-125.488230058527</v>
      </c>
      <c r="L10" s="2">
        <v>-4.37935251086466</v>
      </c>
      <c r="M10" s="2">
        <v>-58.8615084684963</v>
      </c>
    </row>
    <row r="11">
      <c r="A11" s="2">
        <v>0.0</v>
      </c>
      <c r="B11" s="2">
        <v>-125.506977257831</v>
      </c>
      <c r="C11" s="2">
        <v>-4.37626250575921</v>
      </c>
      <c r="D11" s="2">
        <v>-58.8516181634836</v>
      </c>
      <c r="E11" s="2">
        <v>-125.506977257831</v>
      </c>
      <c r="F11" s="2">
        <v>-4.37626250575921</v>
      </c>
      <c r="G11" s="2">
        <v>-58.8516181634836</v>
      </c>
      <c r="H11" s="2">
        <v>-125.506977257831</v>
      </c>
      <c r="I11" s="2">
        <v>-4.37626250575921</v>
      </c>
      <c r="J11" s="2">
        <v>-58.8516181634836</v>
      </c>
      <c r="K11" s="2">
        <v>-125.506977257831</v>
      </c>
      <c r="L11" s="2">
        <v>-4.37626250575921</v>
      </c>
      <c r="M11" s="2">
        <v>-58.8516181634836</v>
      </c>
    </row>
    <row r="12">
      <c r="A12" s="2">
        <v>0.0625</v>
      </c>
      <c r="B12" s="2">
        <v>-125.481919264406</v>
      </c>
      <c r="C12" s="2">
        <v>-4.37504819380499</v>
      </c>
      <c r="D12" s="2">
        <v>-58.8545509349383</v>
      </c>
      <c r="E12" s="2">
        <v>-125.498795841208</v>
      </c>
      <c r="F12" s="2">
        <v>-4.37702193434072</v>
      </c>
      <c r="G12" s="2">
        <v>-58.8272614579554</v>
      </c>
      <c r="H12" s="2">
        <v>-125.512610480528</v>
      </c>
      <c r="I12" s="2">
        <v>-4.37033170061253</v>
      </c>
      <c r="J12" s="2">
        <v>-58.8466456432841</v>
      </c>
      <c r="K12" s="2">
        <v>-125.514130757954</v>
      </c>
      <c r="L12" s="2">
        <v>-4.37389357881662</v>
      </c>
      <c r="M12" s="2">
        <v>-58.8403927067556</v>
      </c>
    </row>
    <row r="13">
      <c r="A13" s="2">
        <v>0.125</v>
      </c>
      <c r="B13" s="2">
        <v>-125.416512924057</v>
      </c>
      <c r="C13" s="2">
        <v>-4.37334745593788</v>
      </c>
      <c r="D13" s="2">
        <v>-58.859121937101</v>
      </c>
      <c r="E13" s="2">
        <v>-125.472815017193</v>
      </c>
      <c r="F13" s="2">
        <v>-4.37762383484176</v>
      </c>
      <c r="G13" s="2">
        <v>-58.8018758996644</v>
      </c>
      <c r="H13" s="2">
        <v>-125.506527035784</v>
      </c>
      <c r="I13" s="2">
        <v>-4.36489911450917</v>
      </c>
      <c r="J13" s="2">
        <v>-58.840455690591</v>
      </c>
      <c r="K13" s="2">
        <v>-125.509709033842</v>
      </c>
      <c r="L13" s="2">
        <v>-4.37231271397834</v>
      </c>
      <c r="M13" s="2">
        <v>-58.8277849672378</v>
      </c>
    </row>
    <row r="14">
      <c r="A14" s="2">
        <v>0.1875</v>
      </c>
      <c r="B14" s="2">
        <v>-125.310467427695</v>
      </c>
      <c r="C14" s="2">
        <v>-4.3710502615723</v>
      </c>
      <c r="D14" s="2">
        <v>-58.8653553780506</v>
      </c>
      <c r="E14" s="2">
        <v>-125.427016335341</v>
      </c>
      <c r="F14" s="2">
        <v>-4.37802141437837</v>
      </c>
      <c r="G14" s="2">
        <v>-58.7754885003376</v>
      </c>
      <c r="H14" s="2">
        <v>-125.488758398165</v>
      </c>
      <c r="I14" s="2">
        <v>-4.36011392946665</v>
      </c>
      <c r="J14" s="2">
        <v>-58.8329649272757</v>
      </c>
      <c r="K14" s="2">
        <v>-125.493682476924</v>
      </c>
      <c r="L14" s="2">
        <v>-4.37156271217024</v>
      </c>
      <c r="M14" s="2">
        <v>-58.8137597934268</v>
      </c>
    </row>
    <row r="15">
      <c r="A15" s="2">
        <v>0.25</v>
      </c>
      <c r="B15" s="2">
        <v>-125.163461603464</v>
      </c>
      <c r="C15" s="2">
        <v>-4.3680067717646</v>
      </c>
      <c r="D15" s="2">
        <v>-58.8732694529258</v>
      </c>
      <c r="E15" s="2">
        <v>-125.355466845539</v>
      </c>
      <c r="F15" s="2">
        <v>-4.37815788199687</v>
      </c>
      <c r="G15" s="2">
        <v>-58.7481225210833</v>
      </c>
      <c r="H15" s="2">
        <v>-125.459061586971</v>
      </c>
      <c r="I15" s="2">
        <v>-4.35611307404123</v>
      </c>
      <c r="J15" s="2">
        <v>-58.824100533298</v>
      </c>
      <c r="K15" s="2">
        <v>-125.465717327905</v>
      </c>
      <c r="L15" s="2">
        <v>-4.37165980238398</v>
      </c>
      <c r="M15" s="2">
        <v>-58.7982943982541</v>
      </c>
    </row>
    <row r="16">
      <c r="A16" s="2">
        <v>0.3125</v>
      </c>
      <c r="B16" s="2">
        <v>-124.975255826959</v>
      </c>
      <c r="C16" s="2">
        <v>-4.36401718281059</v>
      </c>
      <c r="D16" s="2">
        <v>-58.8828762988387</v>
      </c>
      <c r="E16" s="2">
        <v>-125.256828514677</v>
      </c>
      <c r="F16" s="2">
        <v>-4.37796400057764</v>
      </c>
      <c r="G16" s="2">
        <v>-58.7197968725937</v>
      </c>
      <c r="H16" s="2">
        <v>-125.41640583678</v>
      </c>
      <c r="I16" s="2">
        <v>-4.35301420100796</v>
      </c>
      <c r="J16" s="2">
        <v>-58.8138012909856</v>
      </c>
      <c r="K16" s="2">
        <v>-125.424687801563</v>
      </c>
      <c r="L16" s="2">
        <v>-4.37259277513543</v>
      </c>
      <c r="M16" s="2">
        <v>-58.7813785162416</v>
      </c>
    </row>
    <row r="17">
      <c r="A17" s="2">
        <v>0.375</v>
      </c>
      <c r="B17" s="2">
        <v>-124.745608928904</v>
      </c>
      <c r="C17" s="2">
        <v>-4.35881889950691</v>
      </c>
      <c r="D17" s="2">
        <v>-58.89418187253</v>
      </c>
      <c r="E17" s="2">
        <v>-125.130706236479</v>
      </c>
      <c r="F17" s="2">
        <v>-4.3773552140879</v>
      </c>
      <c r="G17" s="2">
        <v>-58.6905255237249</v>
      </c>
      <c r="H17" s="2">
        <v>-125.360750024787</v>
      </c>
      <c r="I17" s="2">
        <v>-4.35090935644916</v>
      </c>
      <c r="J17" s="2">
        <v>-58.802018444725</v>
      </c>
      <c r="K17" s="2">
        <v>-125.370484644265</v>
      </c>
      <c r="L17" s="2">
        <v>-4.37432371049749</v>
      </c>
      <c r="M17" s="2">
        <v>-58.7630143290055</v>
      </c>
      <c r="T17" s="2">
        <v>-0.5</v>
      </c>
      <c r="U17" s="2">
        <v>-124.286555862233</v>
      </c>
      <c r="V17" s="2">
        <v>-4.37350506559494</v>
      </c>
      <c r="W17" s="2">
        <v>-58.8821826825287</v>
      </c>
    </row>
    <row r="18">
      <c r="A18" s="2">
        <v>0.4375</v>
      </c>
      <c r="B18" s="2">
        <v>-124.474125529739</v>
      </c>
      <c r="C18" s="2">
        <v>-4.35207047517993</v>
      </c>
      <c r="D18" s="2">
        <v>-58.90718574165</v>
      </c>
      <c r="E18" s="2">
        <v>-124.976928283923</v>
      </c>
      <c r="F18" s="2">
        <v>-4.37622830535341</v>
      </c>
      <c r="G18" s="2">
        <v>-58.6603169210227</v>
      </c>
      <c r="H18" s="2">
        <v>-125.292243827884</v>
      </c>
      <c r="I18" s="2">
        <v>-4.34985986380902</v>
      </c>
      <c r="J18" s="2">
        <v>-58.7887163472092</v>
      </c>
      <c r="K18" s="2">
        <v>-125.303179829984</v>
      </c>
      <c r="L18" s="2">
        <v>-4.37679023145864</v>
      </c>
      <c r="M18" s="2">
        <v>-58.7432161633034</v>
      </c>
      <c r="T18" s="2">
        <v>-0.4375</v>
      </c>
      <c r="U18" s="2">
        <v>-124.575801737263</v>
      </c>
      <c r="V18" s="2">
        <v>-4.37501915227082</v>
      </c>
      <c r="W18" s="2">
        <v>-58.8736305617425</v>
      </c>
    </row>
    <row r="19">
      <c r="A19" s="2">
        <v>0.5</v>
      </c>
      <c r="B19" s="2">
        <v>-124.159934904636</v>
      </c>
      <c r="C19" s="2">
        <v>-4.34333170721744</v>
      </c>
      <c r="D19" s="2">
        <v>-58.9218807816419</v>
      </c>
      <c r="E19" s="2">
        <v>-124.795424832685</v>
      </c>
      <c r="F19" s="2">
        <v>-4.37445753872501</v>
      </c>
      <c r="G19" s="2">
        <v>-58.6291734238365</v>
      </c>
      <c r="H19" s="2">
        <v>-125.210999021172</v>
      </c>
      <c r="I19" s="2">
        <v>-4.34989286565373</v>
      </c>
      <c r="J19" s="2">
        <v>-58.7738728700753</v>
      </c>
      <c r="K19" s="2">
        <v>-125.222818555346</v>
      </c>
      <c r="L19" s="2">
        <v>-4.37990908083385</v>
      </c>
      <c r="M19" s="2">
        <v>-58.7220099736799</v>
      </c>
      <c r="T19" s="2">
        <v>-0.375</v>
      </c>
      <c r="U19" s="2">
        <v>-124.825678935175</v>
      </c>
      <c r="V19" s="2">
        <v>-4.3761660689014</v>
      </c>
      <c r="W19" s="2">
        <v>-58.8662950441219</v>
      </c>
    </row>
    <row r="20">
      <c r="T20" s="2">
        <v>-0.3125</v>
      </c>
      <c r="U20" s="2">
        <v>-125.036657045334</v>
      </c>
      <c r="V20" s="2">
        <v>-4.37697421227163</v>
      </c>
      <c r="W20" s="2">
        <v>-58.8602524549401</v>
      </c>
    </row>
    <row r="21">
      <c r="A21" s="2"/>
      <c r="B21" s="2" t="s">
        <v>65</v>
      </c>
      <c r="C21" s="2" t="s">
        <v>66</v>
      </c>
      <c r="D21" s="2" t="s">
        <v>67</v>
      </c>
      <c r="E21" s="2" t="s">
        <v>65</v>
      </c>
      <c r="F21" s="2" t="s">
        <v>72</v>
      </c>
      <c r="G21" s="2" t="s">
        <v>73</v>
      </c>
      <c r="H21" s="2" t="s">
        <v>65</v>
      </c>
      <c r="I21" s="2" t="s">
        <v>66</v>
      </c>
      <c r="J21" s="2" t="s">
        <v>67</v>
      </c>
      <c r="K21" s="2" t="s">
        <v>65</v>
      </c>
      <c r="L21" s="2" t="s">
        <v>66</v>
      </c>
      <c r="M21" s="2" t="s">
        <v>67</v>
      </c>
      <c r="T21" s="2">
        <v>-0.25</v>
      </c>
      <c r="U21" s="2">
        <v>-125.208952231295</v>
      </c>
      <c r="V21" s="2">
        <v>-4.37746393407333</v>
      </c>
      <c r="W21" s="2">
        <v>-58.855572038297</v>
      </c>
    </row>
    <row r="22">
      <c r="A22" s="2">
        <v>-0.5</v>
      </c>
      <c r="B22" s="3">
        <f t="shared" ref="B22:M22" si="5">B3-B$11</f>
        <v>1.220421396</v>
      </c>
      <c r="C22" s="3">
        <f t="shared" si="5"/>
        <v>0.002757440164</v>
      </c>
      <c r="D22" s="3">
        <f t="shared" si="5"/>
        <v>-0.03056451905</v>
      </c>
      <c r="E22" s="3">
        <f t="shared" si="5"/>
        <v>0.8264996201</v>
      </c>
      <c r="F22" s="3">
        <f t="shared" si="5"/>
        <v>0.008100767048</v>
      </c>
      <c r="G22" s="3">
        <f t="shared" si="5"/>
        <v>-0.1538220851</v>
      </c>
      <c r="H22" s="3">
        <f t="shared" si="5"/>
        <v>0.4712763726</v>
      </c>
      <c r="I22" s="3">
        <f t="shared" si="5"/>
        <v>-0.04850487708</v>
      </c>
      <c r="J22" s="3">
        <f t="shared" si="5"/>
        <v>-0.008421327049</v>
      </c>
      <c r="K22" s="3">
        <f t="shared" si="5"/>
        <v>0.4775578933</v>
      </c>
      <c r="L22" s="3">
        <f t="shared" si="5"/>
        <v>-0.03625195405</v>
      </c>
      <c r="M22" s="3">
        <f t="shared" si="5"/>
        <v>-0.04785382306</v>
      </c>
      <c r="T22" s="2">
        <v>-0.1875</v>
      </c>
      <c r="U22" s="2">
        <v>-125.342534389786</v>
      </c>
      <c r="V22" s="2">
        <v>-4.37764588581842</v>
      </c>
      <c r="W22" s="2">
        <v>-58.85231610868</v>
      </c>
    </row>
    <row r="23">
      <c r="A23" s="2">
        <v>-0.4375</v>
      </c>
      <c r="B23" s="3">
        <f t="shared" ref="B23:M23" si="6">B4-B$11</f>
        <v>0.9311755206</v>
      </c>
      <c r="C23" s="3">
        <f t="shared" si="6"/>
        <v>0.001243353488</v>
      </c>
      <c r="D23" s="3">
        <f t="shared" si="6"/>
        <v>-0.02201239826</v>
      </c>
      <c r="E23" s="3">
        <f t="shared" si="6"/>
        <v>0.6381579015</v>
      </c>
      <c r="F23" s="3">
        <f t="shared" si="6"/>
        <v>0.007095762189</v>
      </c>
      <c r="G23" s="3">
        <f t="shared" si="6"/>
        <v>-0.1389157017</v>
      </c>
      <c r="H23" s="3">
        <f t="shared" si="6"/>
        <v>0.370915979</v>
      </c>
      <c r="I23" s="3">
        <f t="shared" si="6"/>
        <v>-0.04338657635</v>
      </c>
      <c r="J23" s="3">
        <f t="shared" si="6"/>
        <v>-0.009348760048</v>
      </c>
      <c r="K23" s="3">
        <f t="shared" si="6"/>
        <v>0.3766624081</v>
      </c>
      <c r="L23" s="3">
        <f t="shared" si="6"/>
        <v>-0.03107232243</v>
      </c>
      <c r="M23" s="3">
        <f t="shared" si="6"/>
        <v>-0.04515336599</v>
      </c>
      <c r="T23" s="2">
        <v>-0.125</v>
      </c>
      <c r="U23" s="2">
        <v>-125.437018776719</v>
      </c>
      <c r="V23" s="2">
        <v>-4.37751909226282</v>
      </c>
      <c r="W23" s="2">
        <v>-58.8505402261347</v>
      </c>
    </row>
    <row r="24">
      <c r="A24" s="2">
        <v>-0.375</v>
      </c>
      <c r="B24" s="3">
        <f t="shared" ref="B24:M24" si="7">B5-B$11</f>
        <v>0.6812983227</v>
      </c>
      <c r="C24" s="3">
        <f t="shared" si="7"/>
        <v>0.00009643685781</v>
      </c>
      <c r="D24" s="3">
        <f t="shared" si="7"/>
        <v>-0.01467688064</v>
      </c>
      <c r="E24" s="3">
        <f t="shared" si="7"/>
        <v>0.4733740843</v>
      </c>
      <c r="F24" s="3">
        <f t="shared" si="7"/>
        <v>0.006054261141</v>
      </c>
      <c r="G24" s="3">
        <f t="shared" si="7"/>
        <v>-0.1227033613</v>
      </c>
      <c r="H24" s="3">
        <f t="shared" si="7"/>
        <v>0.2823417131</v>
      </c>
      <c r="I24" s="3">
        <f t="shared" si="7"/>
        <v>-0.03783470459</v>
      </c>
      <c r="J24" s="3">
        <f t="shared" si="7"/>
        <v>-0.009948241994</v>
      </c>
      <c r="K24" s="3">
        <f t="shared" si="7"/>
        <v>0.2876017311</v>
      </c>
      <c r="L24" s="3">
        <f t="shared" si="7"/>
        <v>-0.02585621983</v>
      </c>
      <c r="M24" s="3">
        <f t="shared" si="7"/>
        <v>-0.04171148672</v>
      </c>
      <c r="T24" s="2">
        <v>-0.0625</v>
      </c>
      <c r="U24" s="2">
        <v>-125.491931153408</v>
      </c>
      <c r="V24" s="2">
        <v>-4.37706859794597</v>
      </c>
      <c r="W24" s="2">
        <v>-58.8502933795464</v>
      </c>
    </row>
    <row r="25">
      <c r="A25" s="2">
        <v>-0.3125</v>
      </c>
      <c r="B25" s="3">
        <f t="shared" ref="B25:M25" si="8">B6-B$11</f>
        <v>0.4703202125</v>
      </c>
      <c r="C25" s="3">
        <f t="shared" si="8"/>
        <v>-0.0007117065124</v>
      </c>
      <c r="D25" s="3">
        <f t="shared" si="8"/>
        <v>-0.008634291457</v>
      </c>
      <c r="E25" s="3">
        <f t="shared" si="8"/>
        <v>0.3325150221</v>
      </c>
      <c r="F25" s="3">
        <f t="shared" si="8"/>
        <v>0.004990514539</v>
      </c>
      <c r="G25" s="3">
        <f t="shared" si="8"/>
        <v>-0.1052197945</v>
      </c>
      <c r="H25" s="3">
        <f t="shared" si="8"/>
        <v>0.2056022706</v>
      </c>
      <c r="I25" s="3">
        <f t="shared" si="8"/>
        <v>-0.03190705076</v>
      </c>
      <c r="J25" s="3">
        <f t="shared" si="8"/>
        <v>-0.01009972691</v>
      </c>
      <c r="K25" s="3">
        <f t="shared" si="8"/>
        <v>0.2103511229</v>
      </c>
      <c r="L25" s="3">
        <f t="shared" si="8"/>
        <v>-0.0207072802</v>
      </c>
      <c r="M25" s="3">
        <f t="shared" si="8"/>
        <v>-0.03742298454</v>
      </c>
      <c r="T25" s="2">
        <v>0.0</v>
      </c>
      <c r="U25" s="2">
        <v>-125.506977257831</v>
      </c>
      <c r="V25" s="2">
        <v>-4.37626250575921</v>
      </c>
      <c r="W25" s="2">
        <v>-58.8516181634836</v>
      </c>
    </row>
    <row r="26">
      <c r="A26" s="2">
        <v>-0.25</v>
      </c>
      <c r="B26" s="3">
        <f t="shared" ref="B26:M26" si="9">B7-B$11</f>
        <v>0.2980250265</v>
      </c>
      <c r="C26" s="3">
        <f t="shared" si="9"/>
        <v>-0.001201428314</v>
      </c>
      <c r="D26" s="3">
        <f t="shared" si="9"/>
        <v>-0.003953874813</v>
      </c>
      <c r="E26" s="3">
        <f t="shared" si="9"/>
        <v>0.2159646358</v>
      </c>
      <c r="F26" s="3">
        <f t="shared" si="9"/>
        <v>0.00392104296</v>
      </c>
      <c r="G26" s="3">
        <f t="shared" si="9"/>
        <v>-0.0865009585</v>
      </c>
      <c r="H26" s="3">
        <f t="shared" si="9"/>
        <v>0.1407317671</v>
      </c>
      <c r="I26" s="3">
        <f t="shared" si="9"/>
        <v>-0.02568101782</v>
      </c>
      <c r="J26" s="3">
        <f t="shared" si="9"/>
        <v>-0.009683072701</v>
      </c>
      <c r="K26" s="3">
        <f t="shared" si="9"/>
        <v>0.1448789474</v>
      </c>
      <c r="L26" s="3">
        <f t="shared" si="9"/>
        <v>-0.01573837962</v>
      </c>
      <c r="M26" s="3">
        <f t="shared" si="9"/>
        <v>-0.03218735009</v>
      </c>
      <c r="T26" s="2">
        <v>0.0625</v>
      </c>
      <c r="U26" s="2">
        <v>-125.481919264406</v>
      </c>
      <c r="V26" s="2">
        <v>-4.37504819380499</v>
      </c>
      <c r="W26" s="2">
        <v>-58.8545509349383</v>
      </c>
    </row>
    <row r="27">
      <c r="A27" s="2">
        <v>-0.1875</v>
      </c>
      <c r="B27" s="3">
        <f t="shared" ref="B27:M27" si="10">B8-B$11</f>
        <v>0.164442868</v>
      </c>
      <c r="C27" s="3">
        <f t="shared" si="10"/>
        <v>-0.001383380059</v>
      </c>
      <c r="D27" s="3">
        <f t="shared" si="10"/>
        <v>-0.0006979451964</v>
      </c>
      <c r="E27" s="3">
        <f t="shared" si="10"/>
        <v>0.1241122975</v>
      </c>
      <c r="F27" s="3">
        <f t="shared" si="10"/>
        <v>0.002864565426</v>
      </c>
      <c r="G27" s="3">
        <f t="shared" si="10"/>
        <v>-0.06658341508</v>
      </c>
      <c r="H27" s="3">
        <f t="shared" si="10"/>
        <v>0.08774705563</v>
      </c>
      <c r="I27" s="3">
        <f t="shared" si="10"/>
        <v>-0.01925371864</v>
      </c>
      <c r="J27" s="3">
        <f t="shared" si="10"/>
        <v>-0.008579270399</v>
      </c>
      <c r="K27" s="3">
        <f t="shared" si="10"/>
        <v>0.09114793091</v>
      </c>
      <c r="L27" s="3">
        <f t="shared" si="10"/>
        <v>-0.01106764048</v>
      </c>
      <c r="M27" s="3">
        <f t="shared" si="10"/>
        <v>-0.02591008155</v>
      </c>
      <c r="T27" s="2">
        <v>0.125</v>
      </c>
      <c r="U27" s="2">
        <v>-125.416512924057</v>
      </c>
      <c r="V27" s="2">
        <v>-4.37334745593788</v>
      </c>
      <c r="W27" s="2">
        <v>-58.859121937101</v>
      </c>
    </row>
    <row r="28">
      <c r="A28" s="2">
        <v>-0.125</v>
      </c>
      <c r="B28" s="3">
        <f t="shared" ref="B28:M28" si="11">B9-B$11</f>
        <v>0.06995848111</v>
      </c>
      <c r="C28" s="3">
        <f t="shared" si="11"/>
        <v>-0.001256586504</v>
      </c>
      <c r="D28" s="3">
        <f t="shared" si="11"/>
        <v>0.001077937349</v>
      </c>
      <c r="E28" s="3">
        <f t="shared" si="11"/>
        <v>0.05733287156</v>
      </c>
      <c r="F28" s="3">
        <f t="shared" si="11"/>
        <v>0.001842224154</v>
      </c>
      <c r="G28" s="3">
        <f t="shared" si="11"/>
        <v>-0.04550370102</v>
      </c>
      <c r="H28" s="3">
        <f t="shared" si="11"/>
        <v>0.04664641255</v>
      </c>
      <c r="I28" s="3">
        <f t="shared" si="11"/>
        <v>-0.01274092826</v>
      </c>
      <c r="J28" s="3">
        <f t="shared" si="11"/>
        <v>-0.006671763039</v>
      </c>
      <c r="K28" s="3">
        <f t="shared" si="11"/>
        <v>0.04911753986</v>
      </c>
      <c r="L28" s="3">
        <f t="shared" si="11"/>
        <v>-0.006813627658</v>
      </c>
      <c r="M28" s="3">
        <f t="shared" si="11"/>
        <v>-0.0185039683</v>
      </c>
      <c r="T28" s="2">
        <v>0.1875</v>
      </c>
      <c r="U28" s="2">
        <v>-125.310467427695</v>
      </c>
      <c r="V28" s="2">
        <v>-4.3710502615723</v>
      </c>
      <c r="W28" s="2">
        <v>-58.8653553780506</v>
      </c>
    </row>
    <row r="29">
      <c r="A29" s="2">
        <v>-0.0625</v>
      </c>
      <c r="B29" s="3">
        <f t="shared" ref="B29:M29" si="12">B10-B$11</f>
        <v>0.01504610442</v>
      </c>
      <c r="C29" s="3">
        <f t="shared" si="12"/>
        <v>-0.0008060921868</v>
      </c>
      <c r="D29" s="3">
        <f t="shared" si="12"/>
        <v>0.001324783937</v>
      </c>
      <c r="E29" s="3">
        <f t="shared" si="12"/>
        <v>0.01593904726</v>
      </c>
      <c r="F29" s="3">
        <f t="shared" si="12"/>
        <v>0.0008780976254</v>
      </c>
      <c r="G29" s="3">
        <f t="shared" si="12"/>
        <v>-0.02329769736</v>
      </c>
      <c r="H29" s="3">
        <f t="shared" si="12"/>
        <v>0.01740969441</v>
      </c>
      <c r="I29" s="3">
        <f t="shared" si="12"/>
        <v>-0.006274758161</v>
      </c>
      <c r="J29" s="3">
        <f t="shared" si="12"/>
        <v>-0.003847829008</v>
      </c>
      <c r="K29" s="3">
        <f t="shared" si="12"/>
        <v>0.0187471993</v>
      </c>
      <c r="L29" s="3">
        <f t="shared" si="12"/>
        <v>-0.003090005105</v>
      </c>
      <c r="M29" s="3">
        <f t="shared" si="12"/>
        <v>-0.009890305013</v>
      </c>
      <c r="T29" s="2">
        <v>0.25</v>
      </c>
      <c r="U29" s="2">
        <v>-125.163461603464</v>
      </c>
      <c r="V29" s="2">
        <v>-4.3680067717646</v>
      </c>
      <c r="W29" s="2">
        <v>-58.8732694529258</v>
      </c>
    </row>
    <row r="30">
      <c r="A30" s="2">
        <v>0.0</v>
      </c>
      <c r="B30" s="3">
        <f t="shared" ref="B30:M30" si="13">B11-B$11</f>
        <v>0</v>
      </c>
      <c r="C30" s="3">
        <f t="shared" si="13"/>
        <v>0</v>
      </c>
      <c r="D30" s="3">
        <f t="shared" si="13"/>
        <v>0</v>
      </c>
      <c r="E30" s="3">
        <f t="shared" si="13"/>
        <v>0</v>
      </c>
      <c r="F30" s="3">
        <f t="shared" si="13"/>
        <v>0</v>
      </c>
      <c r="G30" s="3">
        <f t="shared" si="13"/>
        <v>0</v>
      </c>
      <c r="H30" s="3">
        <f t="shared" si="13"/>
        <v>0</v>
      </c>
      <c r="I30" s="3">
        <f t="shared" si="13"/>
        <v>0</v>
      </c>
      <c r="J30" s="3">
        <f t="shared" si="13"/>
        <v>0</v>
      </c>
      <c r="K30" s="3">
        <f t="shared" si="13"/>
        <v>0</v>
      </c>
      <c r="L30" s="3">
        <f t="shared" si="13"/>
        <v>0</v>
      </c>
      <c r="M30" s="3">
        <f t="shared" si="13"/>
        <v>0</v>
      </c>
      <c r="T30" s="2">
        <v>0.3125</v>
      </c>
      <c r="U30" s="2">
        <v>-124.975255826959</v>
      </c>
      <c r="V30" s="2">
        <v>-4.36401718281059</v>
      </c>
      <c r="W30" s="2">
        <v>-58.8828762988387</v>
      </c>
    </row>
    <row r="31">
      <c r="A31" s="2">
        <v>0.0625</v>
      </c>
      <c r="B31" s="3">
        <f t="shared" ref="B31:M31" si="14">B12-B$11</f>
        <v>0.02505799342</v>
      </c>
      <c r="C31" s="3">
        <f t="shared" si="14"/>
        <v>0.001214311954</v>
      </c>
      <c r="D31" s="3">
        <f t="shared" si="14"/>
        <v>-0.002932771455</v>
      </c>
      <c r="E31" s="3">
        <f t="shared" si="14"/>
        <v>0.008181416623</v>
      </c>
      <c r="F31" s="3">
        <f t="shared" si="14"/>
        <v>-0.0007594285815</v>
      </c>
      <c r="G31" s="3">
        <f t="shared" si="14"/>
        <v>0.02435670553</v>
      </c>
      <c r="H31" s="3">
        <f t="shared" si="14"/>
        <v>-0.005633222697</v>
      </c>
      <c r="I31" s="3">
        <f t="shared" si="14"/>
        <v>0.005930805147</v>
      </c>
      <c r="J31" s="3">
        <f t="shared" si="14"/>
        <v>0.0049725202</v>
      </c>
      <c r="K31" s="3">
        <f t="shared" si="14"/>
        <v>-0.007153500123</v>
      </c>
      <c r="L31" s="3">
        <f t="shared" si="14"/>
        <v>0.002368926943</v>
      </c>
      <c r="M31" s="3">
        <f t="shared" si="14"/>
        <v>0.01122545673</v>
      </c>
      <c r="T31" s="2">
        <v>0.375</v>
      </c>
      <c r="U31" s="2">
        <v>-124.745608928904</v>
      </c>
      <c r="V31" s="2">
        <v>-4.35881889950691</v>
      </c>
      <c r="W31" s="2">
        <v>-58.89418187253</v>
      </c>
    </row>
    <row r="32">
      <c r="A32" s="2">
        <v>0.125</v>
      </c>
      <c r="B32" s="3">
        <f t="shared" ref="B32:M32" si="15">B13-B$11</f>
        <v>0.09046433377</v>
      </c>
      <c r="C32" s="3">
        <f t="shared" si="15"/>
        <v>0.002915049821</v>
      </c>
      <c r="D32" s="3">
        <f t="shared" si="15"/>
        <v>-0.007503773617</v>
      </c>
      <c r="E32" s="3">
        <f t="shared" si="15"/>
        <v>0.03416224064</v>
      </c>
      <c r="F32" s="3">
        <f t="shared" si="15"/>
        <v>-0.001361329083</v>
      </c>
      <c r="G32" s="3">
        <f t="shared" si="15"/>
        <v>0.04974226382</v>
      </c>
      <c r="H32" s="3">
        <f t="shared" si="15"/>
        <v>0.000450222047</v>
      </c>
      <c r="I32" s="3">
        <f t="shared" si="15"/>
        <v>0.01136339125</v>
      </c>
      <c r="J32" s="3">
        <f t="shared" si="15"/>
        <v>0.01116247289</v>
      </c>
      <c r="K32" s="3">
        <f t="shared" si="15"/>
        <v>-0.002731776011</v>
      </c>
      <c r="L32" s="3">
        <f t="shared" si="15"/>
        <v>0.003949791781</v>
      </c>
      <c r="M32" s="3">
        <f t="shared" si="15"/>
        <v>0.02383319625</v>
      </c>
      <c r="T32" s="2">
        <v>0.4375</v>
      </c>
      <c r="U32" s="2">
        <v>-124.474125529739</v>
      </c>
      <c r="V32" s="2">
        <v>-4.35207047517993</v>
      </c>
      <c r="W32" s="2">
        <v>-58.90718574165</v>
      </c>
    </row>
    <row r="33">
      <c r="A33" s="2">
        <v>0.1875</v>
      </c>
      <c r="B33" s="3">
        <f t="shared" ref="B33:M33" si="16">B14-B$11</f>
        <v>0.1965098301</v>
      </c>
      <c r="C33" s="3">
        <f t="shared" si="16"/>
        <v>0.005212244187</v>
      </c>
      <c r="D33" s="3">
        <f t="shared" si="16"/>
        <v>-0.01373721457</v>
      </c>
      <c r="E33" s="3">
        <f t="shared" si="16"/>
        <v>0.07996092249</v>
      </c>
      <c r="F33" s="3">
        <f t="shared" si="16"/>
        <v>-0.001758908619</v>
      </c>
      <c r="G33" s="3">
        <f t="shared" si="16"/>
        <v>0.07612966315</v>
      </c>
      <c r="H33" s="3">
        <f t="shared" si="16"/>
        <v>0.01821885967</v>
      </c>
      <c r="I33" s="3">
        <f t="shared" si="16"/>
        <v>0.01614857629</v>
      </c>
      <c r="J33" s="3">
        <f t="shared" si="16"/>
        <v>0.01865323621</v>
      </c>
      <c r="K33" s="3">
        <f t="shared" si="16"/>
        <v>0.01329478091</v>
      </c>
      <c r="L33" s="3">
        <f t="shared" si="16"/>
        <v>0.004699793589</v>
      </c>
      <c r="M33" s="3">
        <f t="shared" si="16"/>
        <v>0.03785837006</v>
      </c>
      <c r="T33" s="2">
        <v>0.5</v>
      </c>
      <c r="U33" s="2">
        <v>-124.159934904636</v>
      </c>
      <c r="V33" s="2">
        <v>-4.34333170721744</v>
      </c>
      <c r="W33" s="2">
        <v>-58.9218807816419</v>
      </c>
    </row>
    <row r="34">
      <c r="A34" s="2">
        <v>0.25</v>
      </c>
      <c r="B34" s="3">
        <f t="shared" ref="B34:M34" si="17">B15-B$11</f>
        <v>0.3435156544</v>
      </c>
      <c r="C34" s="3">
        <f t="shared" si="17"/>
        <v>0.008255733995</v>
      </c>
      <c r="D34" s="3">
        <f t="shared" si="17"/>
        <v>-0.02165128944</v>
      </c>
      <c r="E34" s="3">
        <f t="shared" si="17"/>
        <v>0.1515104123</v>
      </c>
      <c r="F34" s="3">
        <f t="shared" si="17"/>
        <v>-0.001895376238</v>
      </c>
      <c r="G34" s="3">
        <f t="shared" si="17"/>
        <v>0.1034956424</v>
      </c>
      <c r="H34" s="3">
        <f t="shared" si="17"/>
        <v>0.04791567086</v>
      </c>
      <c r="I34" s="3">
        <f t="shared" si="17"/>
        <v>0.02014943172</v>
      </c>
      <c r="J34" s="3">
        <f t="shared" si="17"/>
        <v>0.02751763019</v>
      </c>
      <c r="K34" s="3">
        <f t="shared" si="17"/>
        <v>0.04125992993</v>
      </c>
      <c r="L34" s="3">
        <f t="shared" si="17"/>
        <v>0.004602703375</v>
      </c>
      <c r="M34" s="3">
        <f t="shared" si="17"/>
        <v>0.05332376523</v>
      </c>
    </row>
    <row r="35">
      <c r="A35" s="2">
        <v>0.3125</v>
      </c>
      <c r="B35" s="3">
        <f t="shared" ref="B35:M35" si="18">B16-B$11</f>
        <v>0.5317214309</v>
      </c>
      <c r="C35" s="3">
        <f t="shared" si="18"/>
        <v>0.01224532295</v>
      </c>
      <c r="D35" s="3">
        <f t="shared" si="18"/>
        <v>-0.03125813536</v>
      </c>
      <c r="E35" s="3">
        <f t="shared" si="18"/>
        <v>0.2501487432</v>
      </c>
      <c r="F35" s="3">
        <f t="shared" si="18"/>
        <v>-0.001701494818</v>
      </c>
      <c r="G35" s="3">
        <f t="shared" si="18"/>
        <v>0.1318212909</v>
      </c>
      <c r="H35" s="3">
        <f t="shared" si="18"/>
        <v>0.09057142105</v>
      </c>
      <c r="I35" s="3">
        <f t="shared" si="18"/>
        <v>0.02324830475</v>
      </c>
      <c r="J35" s="3">
        <f t="shared" si="18"/>
        <v>0.0378168725</v>
      </c>
      <c r="K35" s="3">
        <f t="shared" si="18"/>
        <v>0.08228945627</v>
      </c>
      <c r="L35" s="3">
        <f t="shared" si="18"/>
        <v>0.003669730624</v>
      </c>
      <c r="M35" s="3">
        <f t="shared" si="18"/>
        <v>0.07023964724</v>
      </c>
    </row>
    <row r="36">
      <c r="A36" s="2">
        <v>0.375</v>
      </c>
      <c r="B36" s="3">
        <f t="shared" ref="B36:M36" si="19">B17-B$11</f>
        <v>0.7613683289</v>
      </c>
      <c r="C36" s="3">
        <f t="shared" si="19"/>
        <v>0.01744360625</v>
      </c>
      <c r="D36" s="3">
        <f t="shared" si="19"/>
        <v>-0.04256370905</v>
      </c>
      <c r="E36" s="3">
        <f t="shared" si="19"/>
        <v>0.3762710214</v>
      </c>
      <c r="F36" s="3">
        <f t="shared" si="19"/>
        <v>-0.001092708329</v>
      </c>
      <c r="G36" s="3">
        <f t="shared" si="19"/>
        <v>0.1610926398</v>
      </c>
      <c r="H36" s="3">
        <f t="shared" si="19"/>
        <v>0.146227233</v>
      </c>
      <c r="I36" s="3">
        <f t="shared" si="19"/>
        <v>0.02535314931</v>
      </c>
      <c r="J36" s="3">
        <f t="shared" si="19"/>
        <v>0.04959971876</v>
      </c>
      <c r="K36" s="3">
        <f t="shared" si="19"/>
        <v>0.1364926136</v>
      </c>
      <c r="L36" s="3">
        <f t="shared" si="19"/>
        <v>0.001938795262</v>
      </c>
      <c r="M36" s="3">
        <f t="shared" si="19"/>
        <v>0.08860383448</v>
      </c>
    </row>
    <row r="37">
      <c r="A37" s="2">
        <v>0.4375</v>
      </c>
      <c r="B37" s="3">
        <f t="shared" ref="B37:M37" si="20">B18-B$11</f>
        <v>1.032851728</v>
      </c>
      <c r="C37" s="3">
        <f t="shared" si="20"/>
        <v>0.02419203058</v>
      </c>
      <c r="D37" s="3">
        <f t="shared" si="20"/>
        <v>-0.05556757817</v>
      </c>
      <c r="E37" s="3">
        <f t="shared" si="20"/>
        <v>0.5300489739</v>
      </c>
      <c r="F37" s="3">
        <f t="shared" si="20"/>
        <v>0.0000342004058</v>
      </c>
      <c r="G37" s="3">
        <f t="shared" si="20"/>
        <v>0.1913012425</v>
      </c>
      <c r="H37" s="3">
        <f t="shared" si="20"/>
        <v>0.2147334299</v>
      </c>
      <c r="I37" s="3">
        <f t="shared" si="20"/>
        <v>0.02640264195</v>
      </c>
      <c r="J37" s="3">
        <f t="shared" si="20"/>
        <v>0.06290181627</v>
      </c>
      <c r="K37" s="3">
        <f t="shared" si="20"/>
        <v>0.2037974278</v>
      </c>
      <c r="L37" s="3">
        <f t="shared" si="20"/>
        <v>-0.0005277256994</v>
      </c>
      <c r="M37" s="3">
        <f t="shared" si="20"/>
        <v>0.1084020002</v>
      </c>
    </row>
    <row r="38">
      <c r="A38" s="2">
        <v>0.5</v>
      </c>
      <c r="B38" s="3">
        <f t="shared" ref="B38:M38" si="21">B19-B$11</f>
        <v>1.347042353</v>
      </c>
      <c r="C38" s="3">
        <f t="shared" si="21"/>
        <v>0.03293079854</v>
      </c>
      <c r="D38" s="3">
        <f t="shared" si="21"/>
        <v>-0.07026261816</v>
      </c>
      <c r="E38" s="3">
        <f t="shared" si="21"/>
        <v>0.7115524251</v>
      </c>
      <c r="F38" s="3">
        <f t="shared" si="21"/>
        <v>0.001804967034</v>
      </c>
      <c r="G38" s="3">
        <f t="shared" si="21"/>
        <v>0.2224447396</v>
      </c>
      <c r="H38" s="3">
        <f t="shared" si="21"/>
        <v>0.2959782367</v>
      </c>
      <c r="I38" s="3">
        <f t="shared" si="21"/>
        <v>0.02636964011</v>
      </c>
      <c r="J38" s="3">
        <f t="shared" si="21"/>
        <v>0.07774529341</v>
      </c>
      <c r="K38" s="3">
        <f t="shared" si="21"/>
        <v>0.2841587025</v>
      </c>
      <c r="L38" s="3">
        <f t="shared" si="21"/>
        <v>-0.003646575075</v>
      </c>
      <c r="M38" s="3">
        <f t="shared" si="21"/>
        <v>0.1296081898</v>
      </c>
    </row>
    <row r="42">
      <c r="A42" s="2"/>
      <c r="B42" s="2" t="s">
        <v>66</v>
      </c>
      <c r="C42" s="2" t="s">
        <v>67</v>
      </c>
      <c r="D42" s="2" t="s">
        <v>74</v>
      </c>
      <c r="E42" s="2" t="s">
        <v>66</v>
      </c>
      <c r="F42" s="2" t="s">
        <v>67</v>
      </c>
      <c r="G42" s="2" t="s">
        <v>74</v>
      </c>
      <c r="H42" s="2" t="s">
        <v>66</v>
      </c>
      <c r="I42" s="2" t="s">
        <v>67</v>
      </c>
      <c r="J42" s="2" t="s">
        <v>74</v>
      </c>
      <c r="K42" s="2" t="s">
        <v>66</v>
      </c>
      <c r="L42" s="2" t="s">
        <v>67</v>
      </c>
      <c r="M42" s="2" t="s">
        <v>74</v>
      </c>
    </row>
    <row r="43">
      <c r="A43" s="2">
        <v>-0.5</v>
      </c>
      <c r="B43" s="3">
        <f t="shared" ref="B43:B50" si="22">C22/B22</f>
        <v>0.002259416439</v>
      </c>
      <c r="C43" s="3">
        <f t="shared" ref="C43:C50" si="23">D22/B22</f>
        <v>-0.02504423403</v>
      </c>
      <c r="D43" s="3">
        <f t="shared" ref="D43:D58" si="24">C43/B43</f>
        <v>-11.08438161</v>
      </c>
      <c r="E43" s="3">
        <f t="shared" ref="E43:E50" si="25">F22/E22</f>
        <v>0.00980129555</v>
      </c>
      <c r="F43" s="3">
        <f t="shared" ref="F43:F50" si="26">G22/E22</f>
        <v>-0.1861127112</v>
      </c>
      <c r="G43" s="3">
        <f t="shared" ref="G43:G58" si="27">F43/E43</f>
        <v>-18.98858271</v>
      </c>
      <c r="H43" s="3">
        <f t="shared" ref="H43:H50" si="28">I22/H22</f>
        <v>-0.1029223613</v>
      </c>
      <c r="I43" s="3">
        <f t="shared" ref="I43:I50" si="29">J22/H22</f>
        <v>-0.01786919001</v>
      </c>
      <c r="J43" s="3">
        <f t="shared" ref="J43:J58" si="30">I43/H43</f>
        <v>0.1736181505</v>
      </c>
      <c r="K43" s="2">
        <f t="shared" ref="K43:K50" si="31">L22/K22</f>
        <v>-0.07591111896</v>
      </c>
      <c r="L43" s="2">
        <f t="shared" ref="L43:L50" si="32">M22/K22</f>
        <v>-0.1002052814</v>
      </c>
      <c r="M43" s="3">
        <f t="shared" ref="M43:M58" si="33">L43/K43</f>
        <v>1.320034308</v>
      </c>
    </row>
    <row r="44">
      <c r="A44" s="2">
        <v>-0.4375</v>
      </c>
      <c r="B44" s="3">
        <f t="shared" si="22"/>
        <v>0.001335251476</v>
      </c>
      <c r="C44" s="3">
        <f t="shared" si="23"/>
        <v>-0.02363936527</v>
      </c>
      <c r="D44" s="3">
        <f t="shared" si="24"/>
        <v>-17.70405477</v>
      </c>
      <c r="E44" s="3">
        <f t="shared" si="25"/>
        <v>0.01111913239</v>
      </c>
      <c r="F44" s="3">
        <f t="shared" si="26"/>
        <v>-0.2176823344</v>
      </c>
      <c r="G44" s="3">
        <f t="shared" si="27"/>
        <v>-19.57727697</v>
      </c>
      <c r="H44" s="3">
        <f t="shared" si="28"/>
        <v>-0.1169714405</v>
      </c>
      <c r="I44" s="3">
        <f t="shared" si="29"/>
        <v>-0.02520452226</v>
      </c>
      <c r="J44" s="3">
        <f t="shared" si="30"/>
        <v>0.2154758645</v>
      </c>
      <c r="K44" s="2">
        <f t="shared" si="31"/>
        <v>-0.08249382408</v>
      </c>
      <c r="L44" s="2">
        <f t="shared" si="32"/>
        <v>-0.1198775482</v>
      </c>
      <c r="M44" s="3">
        <f t="shared" si="33"/>
        <v>1.453169974</v>
      </c>
    </row>
    <row r="45">
      <c r="A45" s="2">
        <v>-0.375</v>
      </c>
      <c r="B45" s="3">
        <f t="shared" si="22"/>
        <v>0.00014154865</v>
      </c>
      <c r="C45" s="3">
        <f t="shared" si="23"/>
        <v>-0.02154251691</v>
      </c>
      <c r="D45" s="3">
        <f t="shared" si="24"/>
        <v>-152.1916098</v>
      </c>
      <c r="E45" s="3">
        <f t="shared" si="25"/>
        <v>0.01278959145</v>
      </c>
      <c r="F45" s="3">
        <f t="shared" si="26"/>
        <v>-0.2592101371</v>
      </c>
      <c r="G45" s="3">
        <f t="shared" si="27"/>
        <v>-20.26727266</v>
      </c>
      <c r="H45" s="3">
        <f t="shared" si="28"/>
        <v>-0.1340032409</v>
      </c>
      <c r="I45" s="3">
        <f t="shared" si="29"/>
        <v>-0.03523475821</v>
      </c>
      <c r="J45" s="3">
        <f t="shared" si="30"/>
        <v>0.2629395974</v>
      </c>
      <c r="K45" s="2">
        <f t="shared" si="31"/>
        <v>-0.08990286579</v>
      </c>
      <c r="L45" s="2">
        <f t="shared" si="32"/>
        <v>-0.1450321129</v>
      </c>
      <c r="M45" s="3">
        <f t="shared" si="33"/>
        <v>1.613209007</v>
      </c>
    </row>
    <row r="46">
      <c r="A46" s="2">
        <v>-0.3125</v>
      </c>
      <c r="B46" s="3">
        <f t="shared" si="22"/>
        <v>-0.001513238201</v>
      </c>
      <c r="C46" s="3">
        <f t="shared" si="23"/>
        <v>-0.0183583253</v>
      </c>
      <c r="D46" s="3">
        <f t="shared" si="24"/>
        <v>12.1318146</v>
      </c>
      <c r="E46" s="3">
        <f t="shared" si="25"/>
        <v>0.01500838822</v>
      </c>
      <c r="F46" s="3">
        <f t="shared" si="26"/>
        <v>-0.3164362133</v>
      </c>
      <c r="G46" s="3">
        <f t="shared" si="27"/>
        <v>-21.0839571</v>
      </c>
      <c r="H46" s="3">
        <f t="shared" si="28"/>
        <v>-0.1551882217</v>
      </c>
      <c r="I46" s="3">
        <f t="shared" si="29"/>
        <v>-0.04912264285</v>
      </c>
      <c r="J46" s="3">
        <f t="shared" si="30"/>
        <v>0.3165358962</v>
      </c>
      <c r="K46" s="2">
        <f t="shared" si="31"/>
        <v>-0.09844150064</v>
      </c>
      <c r="L46" s="2">
        <f t="shared" si="32"/>
        <v>-0.1779072249</v>
      </c>
      <c r="M46" s="3">
        <f t="shared" si="33"/>
        <v>1.807238043</v>
      </c>
    </row>
    <row r="47">
      <c r="A47" s="2">
        <v>-0.25</v>
      </c>
      <c r="B47" s="3">
        <f t="shared" si="22"/>
        <v>-0.004031300083</v>
      </c>
      <c r="C47" s="3">
        <f t="shared" si="23"/>
        <v>-0.01326692211</v>
      </c>
      <c r="D47" s="3">
        <f t="shared" si="24"/>
        <v>3.290978552</v>
      </c>
      <c r="E47" s="3">
        <f t="shared" si="25"/>
        <v>0.01815594922</v>
      </c>
      <c r="F47" s="3">
        <f t="shared" si="26"/>
        <v>-0.4005329769</v>
      </c>
      <c r="G47" s="3">
        <f t="shared" si="27"/>
        <v>-22.06070155</v>
      </c>
      <c r="H47" s="3">
        <f t="shared" si="28"/>
        <v>-0.1824820249</v>
      </c>
      <c r="I47" s="3">
        <f t="shared" si="29"/>
        <v>-0.06880516675</v>
      </c>
      <c r="J47" s="3">
        <f t="shared" si="30"/>
        <v>0.3770517495</v>
      </c>
      <c r="K47" s="2">
        <f t="shared" si="31"/>
        <v>-0.1086312394</v>
      </c>
      <c r="L47" s="2">
        <f t="shared" si="32"/>
        <v>-0.2221672</v>
      </c>
      <c r="M47" s="3">
        <f t="shared" si="33"/>
        <v>2.045150191</v>
      </c>
    </row>
    <row r="48">
      <c r="A48" s="2">
        <v>-0.1875</v>
      </c>
      <c r="B48" s="3">
        <f t="shared" si="22"/>
        <v>-0.00841252695</v>
      </c>
      <c r="C48" s="3">
        <f t="shared" si="23"/>
        <v>-0.004244302016</v>
      </c>
      <c r="D48" s="3">
        <f t="shared" si="24"/>
        <v>0.5045216546</v>
      </c>
      <c r="E48" s="3">
        <f t="shared" si="25"/>
        <v>0.02308043187</v>
      </c>
      <c r="F48" s="3">
        <f t="shared" si="26"/>
        <v>-0.5364771778</v>
      </c>
      <c r="G48" s="3">
        <f t="shared" si="27"/>
        <v>-23.2438102</v>
      </c>
      <c r="H48" s="3">
        <f t="shared" si="28"/>
        <v>-0.2194229595</v>
      </c>
      <c r="I48" s="3">
        <f t="shared" si="29"/>
        <v>-0.0977727439</v>
      </c>
      <c r="J48" s="3">
        <f t="shared" si="30"/>
        <v>0.445590307</v>
      </c>
      <c r="K48" s="2">
        <f t="shared" si="31"/>
        <v>-0.1214250326</v>
      </c>
      <c r="L48" s="2">
        <f t="shared" si="32"/>
        <v>-0.2842640671</v>
      </c>
      <c r="M48" s="3">
        <f t="shared" si="33"/>
        <v>2.341066426</v>
      </c>
    </row>
    <row r="49">
      <c r="A49" s="2">
        <v>-0.125</v>
      </c>
      <c r="B49" s="3">
        <f t="shared" si="22"/>
        <v>-0.01796188945</v>
      </c>
      <c r="C49" s="3">
        <f t="shared" si="23"/>
        <v>0.01540824403</v>
      </c>
      <c r="D49" s="3">
        <f t="shared" si="24"/>
        <v>-0.8578297999</v>
      </c>
      <c r="E49" s="3">
        <f t="shared" si="25"/>
        <v>0.03213207544</v>
      </c>
      <c r="F49" s="3">
        <f t="shared" si="26"/>
        <v>-0.7936755962</v>
      </c>
      <c r="G49" s="3">
        <f t="shared" si="27"/>
        <v>-24.70041494</v>
      </c>
      <c r="H49" s="3">
        <f t="shared" si="28"/>
        <v>-0.273138438</v>
      </c>
      <c r="I49" s="3">
        <f t="shared" si="29"/>
        <v>-0.1430284276</v>
      </c>
      <c r="J49" s="3">
        <f t="shared" si="30"/>
        <v>0.5236481128</v>
      </c>
      <c r="K49" s="2">
        <f t="shared" si="31"/>
        <v>-0.1387208658</v>
      </c>
      <c r="L49" s="2">
        <f t="shared" si="32"/>
        <v>-0.3767283204</v>
      </c>
      <c r="M49" s="3">
        <f t="shared" si="33"/>
        <v>2.715729304</v>
      </c>
    </row>
    <row r="50">
      <c r="A50" s="2">
        <v>-0.0625</v>
      </c>
      <c r="B50" s="3">
        <f t="shared" si="22"/>
        <v>-0.05357481007</v>
      </c>
      <c r="C50" s="3">
        <f t="shared" si="23"/>
        <v>0.0880483014</v>
      </c>
      <c r="D50" s="3">
        <f t="shared" si="24"/>
        <v>-1.643464555</v>
      </c>
      <c r="E50" s="3">
        <f t="shared" si="25"/>
        <v>0.05509097321</v>
      </c>
      <c r="F50" s="3">
        <f t="shared" si="26"/>
        <v>-1.461674401</v>
      </c>
      <c r="G50" s="3">
        <f t="shared" si="27"/>
        <v>-26.53201271</v>
      </c>
      <c r="H50" s="3">
        <f t="shared" si="28"/>
        <v>-0.3604174785</v>
      </c>
      <c r="I50" s="3">
        <f t="shared" si="29"/>
        <v>-0.2210164588</v>
      </c>
      <c r="J50" s="3">
        <f t="shared" si="30"/>
        <v>0.6132234757</v>
      </c>
      <c r="K50" s="2">
        <f t="shared" si="31"/>
        <v>-0.1648248923</v>
      </c>
      <c r="L50" s="2">
        <f t="shared" si="32"/>
        <v>-0.5275617361</v>
      </c>
      <c r="M50" s="3">
        <f t="shared" si="33"/>
        <v>3.20074067</v>
      </c>
    </row>
    <row r="51">
      <c r="A51" s="2">
        <v>0.0625</v>
      </c>
      <c r="B51" s="3">
        <f t="shared" ref="B51:B58" si="34">C31/B31</f>
        <v>0.04846006357</v>
      </c>
      <c r="C51" s="3">
        <f t="shared" ref="C51:C58" si="35">D31/B31</f>
        <v>-0.1170393577</v>
      </c>
      <c r="D51" s="3">
        <f t="shared" si="24"/>
        <v>-2.415171361</v>
      </c>
      <c r="E51" s="3">
        <f t="shared" ref="E51:E58" si="36">F31/E31</f>
        <v>-0.09282360458</v>
      </c>
      <c r="F51" s="3">
        <f t="shared" ref="F51:F58" si="37">G31/E31</f>
        <v>2.977076789</v>
      </c>
      <c r="G51" s="3">
        <f t="shared" si="27"/>
        <v>-32.07241092</v>
      </c>
      <c r="H51" s="3">
        <f t="shared" ref="H51:H58" si="38">I31/H31</f>
        <v>-1.052826324</v>
      </c>
      <c r="I51" s="3">
        <f t="shared" ref="I51:I58" si="39">J31/H31</f>
        <v>-0.8827132295</v>
      </c>
      <c r="J51" s="3">
        <f t="shared" si="30"/>
        <v>0.838422453</v>
      </c>
      <c r="K51" s="2">
        <f t="shared" ref="K51:K58" si="40">L31/K31</f>
        <v>-0.3311563433</v>
      </c>
      <c r="L51" s="2">
        <f t="shared" ref="L51:L58" si="41">M31/K31</f>
        <v>-1.569225769</v>
      </c>
      <c r="M51" s="3">
        <f t="shared" si="33"/>
        <v>4.738625124</v>
      </c>
    </row>
    <row r="52">
      <c r="A52" s="2">
        <v>0.125</v>
      </c>
      <c r="B52" s="3">
        <f t="shared" si="34"/>
        <v>0.03222319449</v>
      </c>
      <c r="C52" s="3">
        <f t="shared" si="35"/>
        <v>-0.0829473153</v>
      </c>
      <c r="D52" s="3">
        <f t="shared" si="24"/>
        <v>-2.574149355</v>
      </c>
      <c r="E52" s="3">
        <f t="shared" si="36"/>
        <v>-0.03984894015</v>
      </c>
      <c r="F52" s="3">
        <f t="shared" si="37"/>
        <v>1.456059758</v>
      </c>
      <c r="G52" s="3">
        <f t="shared" si="27"/>
        <v>-36.53948517</v>
      </c>
      <c r="H52" s="3">
        <f t="shared" si="38"/>
        <v>25.23952642</v>
      </c>
      <c r="I52" s="3">
        <f t="shared" si="39"/>
        <v>24.79326139</v>
      </c>
      <c r="J52" s="3">
        <f t="shared" si="30"/>
        <v>0.9823188032</v>
      </c>
      <c r="K52" s="2">
        <f t="shared" si="40"/>
        <v>-1.445869561</v>
      </c>
      <c r="L52" s="2">
        <f t="shared" si="41"/>
        <v>-8.724432805</v>
      </c>
      <c r="M52" s="3">
        <f t="shared" si="33"/>
        <v>6.034038645</v>
      </c>
    </row>
    <row r="53">
      <c r="A53" s="2">
        <v>0.1875</v>
      </c>
      <c r="B53" s="3">
        <f t="shared" si="34"/>
        <v>0.02652408881</v>
      </c>
      <c r="C53" s="3">
        <f t="shared" si="35"/>
        <v>-0.06990599176</v>
      </c>
      <c r="D53" s="3">
        <f t="shared" si="24"/>
        <v>-2.635566193</v>
      </c>
      <c r="E53" s="3">
        <f t="shared" si="36"/>
        <v>-0.02199710264</v>
      </c>
      <c r="F53" s="3">
        <f t="shared" si="37"/>
        <v>0.9520858536</v>
      </c>
      <c r="G53" s="3">
        <f t="shared" si="27"/>
        <v>-43.28232992</v>
      </c>
      <c r="H53" s="3">
        <f t="shared" si="38"/>
        <v>0.8863659191</v>
      </c>
      <c r="I53" s="3">
        <f t="shared" si="39"/>
        <v>1.023842137</v>
      </c>
      <c r="J53" s="3">
        <f t="shared" si="30"/>
        <v>1.155100974</v>
      </c>
      <c r="K53" s="2">
        <f t="shared" si="40"/>
        <v>0.3535066596</v>
      </c>
      <c r="L53" s="2">
        <f t="shared" si="41"/>
        <v>2.847611429</v>
      </c>
      <c r="M53" s="3">
        <f t="shared" si="33"/>
        <v>8.05532612</v>
      </c>
    </row>
    <row r="54">
      <c r="A54" s="2">
        <v>0.25</v>
      </c>
      <c r="B54" s="3">
        <f t="shared" si="34"/>
        <v>0.02403306484</v>
      </c>
      <c r="C54" s="3">
        <f t="shared" si="35"/>
        <v>-0.0630285379</v>
      </c>
      <c r="D54" s="3">
        <f t="shared" si="24"/>
        <v>-2.622575952</v>
      </c>
      <c r="E54" s="3">
        <f t="shared" si="36"/>
        <v>-0.01250987446</v>
      </c>
      <c r="F54" s="3">
        <f t="shared" si="37"/>
        <v>0.6830926062</v>
      </c>
      <c r="G54" s="3">
        <f t="shared" si="27"/>
        <v>-54.60427347</v>
      </c>
      <c r="H54" s="3">
        <f t="shared" si="38"/>
        <v>0.4205186186</v>
      </c>
      <c r="I54" s="3">
        <f t="shared" si="39"/>
        <v>0.5742929128</v>
      </c>
      <c r="J54" s="3">
        <f t="shared" si="30"/>
        <v>1.365677731</v>
      </c>
      <c r="K54" s="2">
        <f t="shared" si="40"/>
        <v>0.111553834</v>
      </c>
      <c r="L54" s="2">
        <f t="shared" si="41"/>
        <v>1.292386229</v>
      </c>
      <c r="M54" s="3">
        <f t="shared" si="33"/>
        <v>11.5853143</v>
      </c>
    </row>
    <row r="55">
      <c r="A55" s="2">
        <v>0.3125</v>
      </c>
      <c r="B55" s="3">
        <f t="shared" si="34"/>
        <v>0.02302958323</v>
      </c>
      <c r="C55" s="3">
        <f t="shared" si="35"/>
        <v>-0.05878667577</v>
      </c>
      <c r="D55" s="3">
        <f t="shared" si="24"/>
        <v>-2.552659124</v>
      </c>
      <c r="E55" s="3">
        <f t="shared" si="36"/>
        <v>-0.00680193231</v>
      </c>
      <c r="F55" s="3">
        <f t="shared" si="37"/>
        <v>0.5269716299</v>
      </c>
      <c r="G55" s="3">
        <f t="shared" si="27"/>
        <v>-77.47381271</v>
      </c>
      <c r="H55" s="3">
        <f t="shared" si="38"/>
        <v>0.2566847741</v>
      </c>
      <c r="I55" s="3">
        <f t="shared" si="39"/>
        <v>0.4175364818</v>
      </c>
      <c r="J55" s="3">
        <f t="shared" si="30"/>
        <v>1.626650756</v>
      </c>
      <c r="K55" s="2">
        <f t="shared" si="40"/>
        <v>0.04459539278</v>
      </c>
      <c r="L55" s="2">
        <f t="shared" si="41"/>
        <v>0.8535680077</v>
      </c>
      <c r="M55" s="3">
        <f t="shared" si="33"/>
        <v>19.14027335</v>
      </c>
    </row>
    <row r="56">
      <c r="A56" s="2">
        <v>0.375</v>
      </c>
      <c r="B56" s="3">
        <f t="shared" si="34"/>
        <v>0.02291086402</v>
      </c>
      <c r="C56" s="3">
        <f t="shared" si="35"/>
        <v>-0.05590422852</v>
      </c>
      <c r="D56" s="3">
        <f t="shared" si="24"/>
        <v>-2.440075087</v>
      </c>
      <c r="E56" s="3">
        <f t="shared" si="36"/>
        <v>-0.002904045931</v>
      </c>
      <c r="F56" s="3">
        <f t="shared" si="37"/>
        <v>0.4281292755</v>
      </c>
      <c r="G56" s="3">
        <f t="shared" si="27"/>
        <v>-147.4251047</v>
      </c>
      <c r="H56" s="3">
        <f t="shared" si="38"/>
        <v>0.1733818577</v>
      </c>
      <c r="I56" s="3">
        <f t="shared" si="39"/>
        <v>0.3391961793</v>
      </c>
      <c r="J56" s="3">
        <f t="shared" si="30"/>
        <v>1.956353357</v>
      </c>
      <c r="K56" s="2">
        <f t="shared" si="40"/>
        <v>0.01420439693</v>
      </c>
      <c r="L56" s="2">
        <f t="shared" si="41"/>
        <v>0.6491474679</v>
      </c>
      <c r="M56" s="3">
        <f t="shared" si="33"/>
        <v>45.70045957</v>
      </c>
    </row>
    <row r="57">
      <c r="A57" s="2">
        <v>0.4375</v>
      </c>
      <c r="B57" s="3">
        <f t="shared" si="34"/>
        <v>0.02342255904</v>
      </c>
      <c r="C57" s="3">
        <f t="shared" si="35"/>
        <v>-0.05380015026</v>
      </c>
      <c r="D57" s="3">
        <f t="shared" si="24"/>
        <v>-2.296937332</v>
      </c>
      <c r="E57" s="3">
        <f t="shared" si="36"/>
        <v>0.00006452310538</v>
      </c>
      <c r="F57" s="3">
        <f t="shared" si="37"/>
        <v>0.3609123909</v>
      </c>
      <c r="G57" s="3">
        <f t="shared" si="27"/>
        <v>5593.537211</v>
      </c>
      <c r="H57" s="3">
        <f t="shared" si="38"/>
        <v>0.1229554334</v>
      </c>
      <c r="I57" s="3">
        <f t="shared" si="39"/>
        <v>0.2929297794</v>
      </c>
      <c r="J57" s="3">
        <f t="shared" si="30"/>
        <v>2.382406139</v>
      </c>
      <c r="K57" s="2">
        <f t="shared" si="40"/>
        <v>-0.002589462021</v>
      </c>
      <c r="L57" s="2">
        <f t="shared" si="41"/>
        <v>0.5319105414</v>
      </c>
      <c r="M57" s="3">
        <f t="shared" si="33"/>
        <v>-205.4135326</v>
      </c>
    </row>
    <row r="58">
      <c r="A58" s="2">
        <v>0.5</v>
      </c>
      <c r="B58" s="3">
        <f t="shared" si="34"/>
        <v>0.02444674324</v>
      </c>
      <c r="C58" s="3">
        <f t="shared" si="35"/>
        <v>-0.05216065998</v>
      </c>
      <c r="D58" s="3">
        <f t="shared" si="24"/>
        <v>-2.133644529</v>
      </c>
      <c r="E58" s="3">
        <f t="shared" si="36"/>
        <v>0.002536660646</v>
      </c>
      <c r="F58" s="3">
        <f t="shared" si="37"/>
        <v>0.3126189045</v>
      </c>
      <c r="G58" s="3">
        <f t="shared" si="27"/>
        <v>123.2403337</v>
      </c>
      <c r="H58" s="3">
        <f t="shared" si="38"/>
        <v>0.08909317254</v>
      </c>
      <c r="I58" s="3">
        <f t="shared" si="39"/>
        <v>0.2626723312</v>
      </c>
      <c r="J58" s="3">
        <f t="shared" si="30"/>
        <v>2.948287997</v>
      </c>
      <c r="K58" s="2">
        <f t="shared" si="40"/>
        <v>-0.01283288192</v>
      </c>
      <c r="L58" s="2">
        <f t="shared" si="41"/>
        <v>0.4561119849</v>
      </c>
      <c r="M58" s="3">
        <f t="shared" si="33"/>
        <v>-35.54244384</v>
      </c>
    </row>
  </sheetData>
  <mergeCells count="4">
    <mergeCell ref="B1:D1"/>
    <mergeCell ref="E1:G1"/>
    <mergeCell ref="H1:J1"/>
    <mergeCell ref="K1:M1"/>
  </mergeCells>
  <drawing r:id="rId1"/>
</worksheet>
</file>